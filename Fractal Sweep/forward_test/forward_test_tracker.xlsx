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;-0.00;0.00"/>
    <numFmt numFmtId="165" formatCode="&quot;$&quot;#,##0.00"/>
    <numFmt numFmtId="166" formatCode="0.0%"/>
    <numFmt numFmtId="167" formatCode="+0.000;-0.000;0.000"/>
  </numFmts>
  <fonts count="8">
    <font>
      <name val="Calibri"/>
      <family val="2"/>
      <color theme="1"/>
      <sz val="11"/>
      <scheme val="minor"/>
    </font>
    <font>
      <b val="1"/>
      <color rgb="00F9FAFB"/>
      <sz val="11"/>
    </font>
    <font>
      <b val="1"/>
      <color rgb="00111827"/>
      <sz val="14"/>
    </font>
    <font>
      <i val="1"/>
      <color rgb="006B7280"/>
      <sz val="10"/>
    </font>
    <font>
      <b val="1"/>
      <color rgb="00374151"/>
      <sz val="11"/>
    </font>
    <font>
      <b val="1"/>
      <color rgb="00111827"/>
      <sz val="11"/>
    </font>
    <font>
      <b val="1"/>
      <sz val="12"/>
    </font>
    <font>
      <color rgb="00374151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" fontId="0" fillId="0" borderId="0" pivotButton="0" quotePrefix="0" xfId="0"/>
    <xf numFmtId="4" fontId="0" fillId="3" borderId="0" pivotButton="0" quotePrefix="0" xfId="0"/>
    <xf numFmtId="164" fontId="0" fillId="0" borderId="0" pivotButton="0" quotePrefix="0" xfId="0"/>
    <xf numFmtId="165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" fontId="0" fillId="0" borderId="0" pivotButton="0" quotePrefix="0" xfId="0"/>
    <xf numFmtId="165" fontId="0" fillId="0" borderId="0" applyAlignment="1" pivotButton="0" quotePrefix="0" xfId="0">
      <alignment horizontal="right"/>
    </xf>
    <xf numFmtId="0" fontId="6" fillId="4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Equity curve (cumulative R)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'Summary'!$E$13:$E$512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FractalSweep</author>
  </authors>
  <commentList>
    <comment ref="A1" authorId="0" shapeId="0">
      <text>
        <t>Sequence number (1, 2, 3 …)</t>
      </text>
    </comment>
    <comment ref="B1" authorId="0" shapeId="0">
      <text>
        <t>Trade date (YYYY-MM-DD)</t>
      </text>
    </comment>
    <comment ref="C1" authorId="0" shapeId="0">
      <text>
        <t>Entry time in ET (HH:MM)</t>
      </text>
    </comment>
    <comment ref="D1" authorId="0" shapeId="0">
      <text>
        <t>1H/5M or 30M/3M</t>
      </text>
    </comment>
    <comment ref="E1" authorId="0" shapeId="0">
      <text>
        <t>LONG or SHORT</t>
      </text>
    </comment>
    <comment ref="F1" authorId="0" shapeId="0">
      <text>
        <t>TRUE / FALSE — was SMT divergence true at entry</t>
      </text>
    </comment>
    <comment ref="G1" authorId="0" shapeId="0">
      <text>
        <t>Entry price from indicator alert</t>
      </text>
    </comment>
    <comment ref="H1" authorId="0" shapeId="0">
      <text>
        <t>Stop-loss price (sweep extreme)</t>
      </text>
    </comment>
    <comment ref="I1" authorId="0" shapeId="0">
      <text>
        <t>Take-profit price (1R from entry)</t>
      </text>
    </comment>
    <comment ref="J1" authorId="0" shapeId="0">
      <text>
        <t>Auto: |planned_entry - planned_sl|</t>
      </text>
    </comment>
    <comment ref="K1" authorId="0" shapeId="0">
      <text>
        <t>Price you actually filled at</t>
      </text>
    </comment>
    <comment ref="L1" authorId="0" shapeId="0">
      <text>
        <t>Price the trade exited at (TP, SL, BE, or manual)</t>
      </text>
    </comment>
    <comment ref="M1" authorId="0" shapeId="0">
      <text>
        <t>WIN / LOSS / BE / SKIPPED / MANUAL_EXIT</t>
      </text>
    </comment>
    <comment ref="N1" authorId="0" shapeId="0">
      <text>
        <t>Actual R captured (e.g. +1.0, -1.0, 0)</t>
      </text>
    </comment>
    <comment ref="O1" authorId="0" shapeId="0">
      <text>
        <t>Deepest adverse excursion in R-units (eyeball OK)</t>
      </text>
    </comment>
    <comment ref="P1" authorId="0" shapeId="0">
      <text>
        <t>Furthest favorable excursion in R-units</t>
      </text>
    </comment>
    <comment ref="Q1" authorId="0" shapeId="0">
      <text>
        <t>actual_entry - planned_entry (signed)</t>
      </text>
    </comment>
    <comment ref="R1" authorId="0" shapeId="0">
      <text>
        <t>Number of MNQ contracts traded</t>
      </text>
    </comment>
    <comment ref="S1" authorId="0" shapeId="0">
      <text>
        <t>Auto: r_realized × contracts × risk_pts × $2</t>
      </text>
    </comment>
    <comment ref="T1" authorId="0" shapeId="0">
      <text>
        <t>Free text — context, news, fill quality, regime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8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4" customWidth="1" min="13" max="13"/>
    <col width="12" customWidth="1" min="14" max="14"/>
    <col width="10" customWidth="1" min="15" max="15"/>
    <col width="10" customWidth="1" min="16" max="16"/>
    <col width="14" customWidth="1" min="17" max="17"/>
    <col width="10" customWidth="1" min="18" max="18"/>
    <col width="12" customWidth="1" min="19" max="19"/>
    <col width="40" customWidth="1" min="20" max="20"/>
  </cols>
  <sheetData>
    <row r="1" ht="22" customHeight="1">
      <c r="A1" s="1" t="inlineStr">
        <is>
          <t>trade_no</t>
        </is>
      </c>
      <c r="B1" s="1" t="inlineStr">
        <is>
          <t>date</t>
        </is>
      </c>
      <c r="C1" s="1" t="inlineStr">
        <is>
          <t>time_et</t>
        </is>
      </c>
      <c r="D1" s="1" t="inlineStr">
        <is>
          <t>combo</t>
        </is>
      </c>
      <c r="E1" s="1" t="inlineStr">
        <is>
          <t>direction</t>
        </is>
      </c>
      <c r="F1" s="1" t="inlineStr">
        <is>
          <t>smt</t>
        </is>
      </c>
      <c r="G1" s="1" t="inlineStr">
        <is>
          <t>planned_entry</t>
        </is>
      </c>
      <c r="H1" s="1" t="inlineStr">
        <is>
          <t>planned_sl</t>
        </is>
      </c>
      <c r="I1" s="1" t="inlineStr">
        <is>
          <t>planned_tp</t>
        </is>
      </c>
      <c r="J1" s="1" t="inlineStr">
        <is>
          <t>planned_risk_pts</t>
        </is>
      </c>
      <c r="K1" s="1" t="inlineStr">
        <is>
          <t>actual_entry</t>
        </is>
      </c>
      <c r="L1" s="1" t="inlineStr">
        <is>
          <t>actual_exit</t>
        </is>
      </c>
      <c r="M1" s="1" t="inlineStr">
        <is>
          <t>outcome</t>
        </is>
      </c>
      <c r="N1" s="1" t="inlineStr">
        <is>
          <t>r_realized</t>
        </is>
      </c>
      <c r="O1" s="1" t="inlineStr">
        <is>
          <t>mae_R</t>
        </is>
      </c>
      <c r="P1" s="1" t="inlineStr">
        <is>
          <t>mfe_R</t>
        </is>
      </c>
      <c r="Q1" s="1" t="inlineStr">
        <is>
          <t>slippage_pts</t>
        </is>
      </c>
      <c r="R1" s="1" t="inlineStr">
        <is>
          <t>contracts</t>
        </is>
      </c>
      <c r="S1" s="1" t="inlineStr">
        <is>
          <t>pnl_usd</t>
        </is>
      </c>
      <c r="T1" s="1" t="inlineStr">
        <is>
          <t>notes</t>
        </is>
      </c>
    </row>
    <row r="2">
      <c r="A2" t="n">
        <v>1</v>
      </c>
      <c r="G2" s="2" t="n"/>
      <c r="H2" s="2" t="n"/>
      <c r="I2" s="2" t="n"/>
      <c r="J2" s="3">
        <f>IFERROR(IF(OR(G2="",H2=""),"",ABS(G2-H2)),"")</f>
        <v/>
      </c>
      <c r="K2" s="2" t="n"/>
      <c r="L2" s="2" t="n"/>
      <c r="N2" s="4" t="n"/>
      <c r="O2" s="4" t="n"/>
      <c r="P2" s="4" t="n"/>
      <c r="Q2" s="2" t="n"/>
      <c r="S2" s="5">
        <f>IFERROR(IF(OR(N2="",R2="",J2=""),"",N2*R2*J2*2),"")</f>
        <v/>
      </c>
    </row>
    <row r="3">
      <c r="A3" t="n">
        <v>2</v>
      </c>
      <c r="G3" s="2" t="n"/>
      <c r="H3" s="2" t="n"/>
      <c r="I3" s="2" t="n"/>
      <c r="J3" s="3">
        <f>IFERROR(IF(OR(G3="",H3=""),"",ABS(G3-H3)),"")</f>
        <v/>
      </c>
      <c r="K3" s="2" t="n"/>
      <c r="L3" s="2" t="n"/>
      <c r="N3" s="4" t="n"/>
      <c r="O3" s="4" t="n"/>
      <c r="P3" s="4" t="n"/>
      <c r="Q3" s="2" t="n"/>
      <c r="S3" s="5">
        <f>IFERROR(IF(OR(N3="",R3="",J3=""),"",N3*R3*J3*2),"")</f>
        <v/>
      </c>
    </row>
    <row r="4">
      <c r="A4" t="n">
        <v>3</v>
      </c>
      <c r="G4" s="2" t="n"/>
      <c r="H4" s="2" t="n"/>
      <c r="I4" s="2" t="n"/>
      <c r="J4" s="3">
        <f>IFERROR(IF(OR(G4="",H4=""),"",ABS(G4-H4)),"")</f>
        <v/>
      </c>
      <c r="K4" s="2" t="n"/>
      <c r="L4" s="2" t="n"/>
      <c r="N4" s="4" t="n"/>
      <c r="O4" s="4" t="n"/>
      <c r="P4" s="4" t="n"/>
      <c r="Q4" s="2" t="n"/>
      <c r="S4" s="5">
        <f>IFERROR(IF(OR(N4="",R4="",J4=""),"",N4*R4*J4*2),"")</f>
        <v/>
      </c>
    </row>
    <row r="5">
      <c r="A5" t="n">
        <v>4</v>
      </c>
      <c r="G5" s="2" t="n"/>
      <c r="H5" s="2" t="n"/>
      <c r="I5" s="2" t="n"/>
      <c r="J5" s="3">
        <f>IFERROR(IF(OR(G5="",H5=""),"",ABS(G5-H5)),"")</f>
        <v/>
      </c>
      <c r="K5" s="2" t="n"/>
      <c r="L5" s="2" t="n"/>
      <c r="N5" s="4" t="n"/>
      <c r="O5" s="4" t="n"/>
      <c r="P5" s="4" t="n"/>
      <c r="Q5" s="2" t="n"/>
      <c r="S5" s="5">
        <f>IFERROR(IF(OR(N5="",R5="",J5=""),"",N5*R5*J5*2),"")</f>
        <v/>
      </c>
    </row>
    <row r="6">
      <c r="A6" t="n">
        <v>5</v>
      </c>
      <c r="G6" s="2" t="n"/>
      <c r="H6" s="2" t="n"/>
      <c r="I6" s="2" t="n"/>
      <c r="J6" s="3">
        <f>IFERROR(IF(OR(G6="",H6=""),"",ABS(G6-H6)),"")</f>
        <v/>
      </c>
      <c r="K6" s="2" t="n"/>
      <c r="L6" s="2" t="n"/>
      <c r="N6" s="4" t="n"/>
      <c r="O6" s="4" t="n"/>
      <c r="P6" s="4" t="n"/>
      <c r="Q6" s="2" t="n"/>
      <c r="S6" s="5">
        <f>IFERROR(IF(OR(N6="",R6="",J6=""),"",N6*R6*J6*2),"")</f>
        <v/>
      </c>
    </row>
    <row r="7">
      <c r="A7" t="n">
        <v>6</v>
      </c>
      <c r="G7" s="2" t="n"/>
      <c r="H7" s="2" t="n"/>
      <c r="I7" s="2" t="n"/>
      <c r="J7" s="3">
        <f>IFERROR(IF(OR(G7="",H7=""),"",ABS(G7-H7)),"")</f>
        <v/>
      </c>
      <c r="K7" s="2" t="n"/>
      <c r="L7" s="2" t="n"/>
      <c r="N7" s="4" t="n"/>
      <c r="O7" s="4" t="n"/>
      <c r="P7" s="4" t="n"/>
      <c r="Q7" s="2" t="n"/>
      <c r="S7" s="5">
        <f>IFERROR(IF(OR(N7="",R7="",J7=""),"",N7*R7*J7*2),"")</f>
        <v/>
      </c>
    </row>
    <row r="8">
      <c r="A8" t="n">
        <v>7</v>
      </c>
      <c r="G8" s="2" t="n"/>
      <c r="H8" s="2" t="n"/>
      <c r="I8" s="2" t="n"/>
      <c r="J8" s="3">
        <f>IFERROR(IF(OR(G8="",H8=""),"",ABS(G8-H8)),"")</f>
        <v/>
      </c>
      <c r="K8" s="2" t="n"/>
      <c r="L8" s="2" t="n"/>
      <c r="N8" s="4" t="n"/>
      <c r="O8" s="4" t="n"/>
      <c r="P8" s="4" t="n"/>
      <c r="Q8" s="2" t="n"/>
      <c r="S8" s="5">
        <f>IFERROR(IF(OR(N8="",R8="",J8=""),"",N8*R8*J8*2),"")</f>
        <v/>
      </c>
    </row>
    <row r="9">
      <c r="A9" t="n">
        <v>8</v>
      </c>
      <c r="G9" s="2" t="n"/>
      <c r="H9" s="2" t="n"/>
      <c r="I9" s="2" t="n"/>
      <c r="J9" s="3">
        <f>IFERROR(IF(OR(G9="",H9=""),"",ABS(G9-H9)),"")</f>
        <v/>
      </c>
      <c r="K9" s="2" t="n"/>
      <c r="L9" s="2" t="n"/>
      <c r="N9" s="4" t="n"/>
      <c r="O9" s="4" t="n"/>
      <c r="P9" s="4" t="n"/>
      <c r="Q9" s="2" t="n"/>
      <c r="S9" s="5">
        <f>IFERROR(IF(OR(N9="",R9="",J9=""),"",N9*R9*J9*2),"")</f>
        <v/>
      </c>
    </row>
    <row r="10">
      <c r="A10" t="n">
        <v>9</v>
      </c>
      <c r="G10" s="2" t="n"/>
      <c r="H10" s="2" t="n"/>
      <c r="I10" s="2" t="n"/>
      <c r="J10" s="3">
        <f>IFERROR(IF(OR(G10="",H10=""),"",ABS(G10-H10)),"")</f>
        <v/>
      </c>
      <c r="K10" s="2" t="n"/>
      <c r="L10" s="2" t="n"/>
      <c r="N10" s="4" t="n"/>
      <c r="O10" s="4" t="n"/>
      <c r="P10" s="4" t="n"/>
      <c r="Q10" s="2" t="n"/>
      <c r="S10" s="5">
        <f>IFERROR(IF(OR(N10="",R10="",J10=""),"",N10*R10*J10*2),"")</f>
        <v/>
      </c>
    </row>
    <row r="11">
      <c r="A11" t="n">
        <v>10</v>
      </c>
      <c r="G11" s="2" t="n"/>
      <c r="H11" s="2" t="n"/>
      <c r="I11" s="2" t="n"/>
      <c r="J11" s="3">
        <f>IFERROR(IF(OR(G11="",H11=""),"",ABS(G11-H11)),"")</f>
        <v/>
      </c>
      <c r="K11" s="2" t="n"/>
      <c r="L11" s="2" t="n"/>
      <c r="N11" s="4" t="n"/>
      <c r="O11" s="4" t="n"/>
      <c r="P11" s="4" t="n"/>
      <c r="Q11" s="2" t="n"/>
      <c r="S11" s="5">
        <f>IFERROR(IF(OR(N11="",R11="",J11=""),"",N11*R11*J11*2),"")</f>
        <v/>
      </c>
    </row>
    <row r="12">
      <c r="A12" t="n">
        <v>11</v>
      </c>
      <c r="G12" s="2" t="n"/>
      <c r="H12" s="2" t="n"/>
      <c r="I12" s="2" t="n"/>
      <c r="J12" s="3">
        <f>IFERROR(IF(OR(G12="",H12=""),"",ABS(G12-H12)),"")</f>
        <v/>
      </c>
      <c r="K12" s="2" t="n"/>
      <c r="L12" s="2" t="n"/>
      <c r="N12" s="4" t="n"/>
      <c r="O12" s="4" t="n"/>
      <c r="P12" s="4" t="n"/>
      <c r="Q12" s="2" t="n"/>
      <c r="S12" s="5">
        <f>IFERROR(IF(OR(N12="",R12="",J12=""),"",N12*R12*J12*2),"")</f>
        <v/>
      </c>
    </row>
    <row r="13">
      <c r="A13" t="n">
        <v>12</v>
      </c>
      <c r="G13" s="2" t="n"/>
      <c r="H13" s="2" t="n"/>
      <c r="I13" s="2" t="n"/>
      <c r="J13" s="3">
        <f>IFERROR(IF(OR(G13="",H13=""),"",ABS(G13-H13)),"")</f>
        <v/>
      </c>
      <c r="K13" s="2" t="n"/>
      <c r="L13" s="2" t="n"/>
      <c r="N13" s="4" t="n"/>
      <c r="O13" s="4" t="n"/>
      <c r="P13" s="4" t="n"/>
      <c r="Q13" s="2" t="n"/>
      <c r="S13" s="5">
        <f>IFERROR(IF(OR(N13="",R13="",J13=""),"",N13*R13*J13*2),"")</f>
        <v/>
      </c>
    </row>
    <row r="14">
      <c r="A14" t="n">
        <v>13</v>
      </c>
      <c r="G14" s="2" t="n"/>
      <c r="H14" s="2" t="n"/>
      <c r="I14" s="2" t="n"/>
      <c r="J14" s="3">
        <f>IFERROR(IF(OR(G14="",H14=""),"",ABS(G14-H14)),"")</f>
        <v/>
      </c>
      <c r="K14" s="2" t="n"/>
      <c r="L14" s="2" t="n"/>
      <c r="N14" s="4" t="n"/>
      <c r="O14" s="4" t="n"/>
      <c r="P14" s="4" t="n"/>
      <c r="Q14" s="2" t="n"/>
      <c r="S14" s="5">
        <f>IFERROR(IF(OR(N14="",R14="",J14=""),"",N14*R14*J14*2),"")</f>
        <v/>
      </c>
    </row>
    <row r="15">
      <c r="A15" t="n">
        <v>14</v>
      </c>
      <c r="G15" s="2" t="n"/>
      <c r="H15" s="2" t="n"/>
      <c r="I15" s="2" t="n"/>
      <c r="J15" s="3">
        <f>IFERROR(IF(OR(G15="",H15=""),"",ABS(G15-H15)),"")</f>
        <v/>
      </c>
      <c r="K15" s="2" t="n"/>
      <c r="L15" s="2" t="n"/>
      <c r="N15" s="4" t="n"/>
      <c r="O15" s="4" t="n"/>
      <c r="P15" s="4" t="n"/>
      <c r="Q15" s="2" t="n"/>
      <c r="S15" s="5">
        <f>IFERROR(IF(OR(N15="",R15="",J15=""),"",N15*R15*J15*2),"")</f>
        <v/>
      </c>
    </row>
    <row r="16">
      <c r="A16" t="n">
        <v>15</v>
      </c>
      <c r="G16" s="2" t="n"/>
      <c r="H16" s="2" t="n"/>
      <c r="I16" s="2" t="n"/>
      <c r="J16" s="3">
        <f>IFERROR(IF(OR(G16="",H16=""),"",ABS(G16-H16)),"")</f>
        <v/>
      </c>
      <c r="K16" s="2" t="n"/>
      <c r="L16" s="2" t="n"/>
      <c r="N16" s="4" t="n"/>
      <c r="O16" s="4" t="n"/>
      <c r="P16" s="4" t="n"/>
      <c r="Q16" s="2" t="n"/>
      <c r="S16" s="5">
        <f>IFERROR(IF(OR(N16="",R16="",J16=""),"",N16*R16*J16*2),"")</f>
        <v/>
      </c>
    </row>
    <row r="17">
      <c r="A17" t="n">
        <v>16</v>
      </c>
      <c r="G17" s="2" t="n"/>
      <c r="H17" s="2" t="n"/>
      <c r="I17" s="2" t="n"/>
      <c r="J17" s="3">
        <f>IFERROR(IF(OR(G17="",H17=""),"",ABS(G17-H17)),"")</f>
        <v/>
      </c>
      <c r="K17" s="2" t="n"/>
      <c r="L17" s="2" t="n"/>
      <c r="N17" s="4" t="n"/>
      <c r="O17" s="4" t="n"/>
      <c r="P17" s="4" t="n"/>
      <c r="Q17" s="2" t="n"/>
      <c r="S17" s="5">
        <f>IFERROR(IF(OR(N17="",R17="",J17=""),"",N17*R17*J17*2),"")</f>
        <v/>
      </c>
    </row>
    <row r="18">
      <c r="A18" t="n">
        <v>17</v>
      </c>
      <c r="G18" s="2" t="n"/>
      <c r="H18" s="2" t="n"/>
      <c r="I18" s="2" t="n"/>
      <c r="J18" s="3">
        <f>IFERROR(IF(OR(G18="",H18=""),"",ABS(G18-H18)),"")</f>
        <v/>
      </c>
      <c r="K18" s="2" t="n"/>
      <c r="L18" s="2" t="n"/>
      <c r="N18" s="4" t="n"/>
      <c r="O18" s="4" t="n"/>
      <c r="P18" s="4" t="n"/>
      <c r="Q18" s="2" t="n"/>
      <c r="S18" s="5">
        <f>IFERROR(IF(OR(N18="",R18="",J18=""),"",N18*R18*J18*2),"")</f>
        <v/>
      </c>
    </row>
    <row r="19">
      <c r="A19" t="n">
        <v>18</v>
      </c>
      <c r="G19" s="2" t="n"/>
      <c r="H19" s="2" t="n"/>
      <c r="I19" s="2" t="n"/>
      <c r="J19" s="3">
        <f>IFERROR(IF(OR(G19="",H19=""),"",ABS(G19-H19)),"")</f>
        <v/>
      </c>
      <c r="K19" s="2" t="n"/>
      <c r="L19" s="2" t="n"/>
      <c r="N19" s="4" t="n"/>
      <c r="O19" s="4" t="n"/>
      <c r="P19" s="4" t="n"/>
      <c r="Q19" s="2" t="n"/>
      <c r="S19" s="5">
        <f>IFERROR(IF(OR(N19="",R19="",J19=""),"",N19*R19*J19*2),"")</f>
        <v/>
      </c>
    </row>
    <row r="20">
      <c r="A20" t="n">
        <v>19</v>
      </c>
      <c r="G20" s="2" t="n"/>
      <c r="H20" s="2" t="n"/>
      <c r="I20" s="2" t="n"/>
      <c r="J20" s="3">
        <f>IFERROR(IF(OR(G20="",H20=""),"",ABS(G20-H20)),"")</f>
        <v/>
      </c>
      <c r="K20" s="2" t="n"/>
      <c r="L20" s="2" t="n"/>
      <c r="N20" s="4" t="n"/>
      <c r="O20" s="4" t="n"/>
      <c r="P20" s="4" t="n"/>
      <c r="Q20" s="2" t="n"/>
      <c r="S20" s="5">
        <f>IFERROR(IF(OR(N20="",R20="",J20=""),"",N20*R20*J20*2),"")</f>
        <v/>
      </c>
    </row>
    <row r="21">
      <c r="A21" t="n">
        <v>20</v>
      </c>
      <c r="G21" s="2" t="n"/>
      <c r="H21" s="2" t="n"/>
      <c r="I21" s="2" t="n"/>
      <c r="J21" s="3">
        <f>IFERROR(IF(OR(G21="",H21=""),"",ABS(G21-H21)),"")</f>
        <v/>
      </c>
      <c r="K21" s="2" t="n"/>
      <c r="L21" s="2" t="n"/>
      <c r="N21" s="4" t="n"/>
      <c r="O21" s="4" t="n"/>
      <c r="P21" s="4" t="n"/>
      <c r="Q21" s="2" t="n"/>
      <c r="S21" s="5">
        <f>IFERROR(IF(OR(N21="",R21="",J21=""),"",N21*R21*J21*2),"")</f>
        <v/>
      </c>
    </row>
    <row r="22">
      <c r="A22" t="n">
        <v>21</v>
      </c>
      <c r="G22" s="2" t="n"/>
      <c r="H22" s="2" t="n"/>
      <c r="I22" s="2" t="n"/>
      <c r="J22" s="3">
        <f>IFERROR(IF(OR(G22="",H22=""),"",ABS(G22-H22)),"")</f>
        <v/>
      </c>
      <c r="K22" s="2" t="n"/>
      <c r="L22" s="2" t="n"/>
      <c r="N22" s="4" t="n"/>
      <c r="O22" s="4" t="n"/>
      <c r="P22" s="4" t="n"/>
      <c r="Q22" s="2" t="n"/>
      <c r="S22" s="5">
        <f>IFERROR(IF(OR(N22="",R22="",J22=""),"",N22*R22*J22*2),"")</f>
        <v/>
      </c>
    </row>
    <row r="23">
      <c r="A23" t="n">
        <v>22</v>
      </c>
      <c r="G23" s="2" t="n"/>
      <c r="H23" s="2" t="n"/>
      <c r="I23" s="2" t="n"/>
      <c r="J23" s="3">
        <f>IFERROR(IF(OR(G23="",H23=""),"",ABS(G23-H23)),"")</f>
        <v/>
      </c>
      <c r="K23" s="2" t="n"/>
      <c r="L23" s="2" t="n"/>
      <c r="N23" s="4" t="n"/>
      <c r="O23" s="4" t="n"/>
      <c r="P23" s="4" t="n"/>
      <c r="Q23" s="2" t="n"/>
      <c r="S23" s="5">
        <f>IFERROR(IF(OR(N23="",R23="",J23=""),"",N23*R23*J23*2),"")</f>
        <v/>
      </c>
    </row>
    <row r="24">
      <c r="A24" t="n">
        <v>23</v>
      </c>
      <c r="G24" s="2" t="n"/>
      <c r="H24" s="2" t="n"/>
      <c r="I24" s="2" t="n"/>
      <c r="J24" s="3">
        <f>IFERROR(IF(OR(G24="",H24=""),"",ABS(G24-H24)),"")</f>
        <v/>
      </c>
      <c r="K24" s="2" t="n"/>
      <c r="L24" s="2" t="n"/>
      <c r="N24" s="4" t="n"/>
      <c r="O24" s="4" t="n"/>
      <c r="P24" s="4" t="n"/>
      <c r="Q24" s="2" t="n"/>
      <c r="S24" s="5">
        <f>IFERROR(IF(OR(N24="",R24="",J24=""),"",N24*R24*J24*2),"")</f>
        <v/>
      </c>
    </row>
    <row r="25">
      <c r="A25" t="n">
        <v>24</v>
      </c>
      <c r="G25" s="2" t="n"/>
      <c r="H25" s="2" t="n"/>
      <c r="I25" s="2" t="n"/>
      <c r="J25" s="3">
        <f>IFERROR(IF(OR(G25="",H25=""),"",ABS(G25-H25)),"")</f>
        <v/>
      </c>
      <c r="K25" s="2" t="n"/>
      <c r="L25" s="2" t="n"/>
      <c r="N25" s="4" t="n"/>
      <c r="O25" s="4" t="n"/>
      <c r="P25" s="4" t="n"/>
      <c r="Q25" s="2" t="n"/>
      <c r="S25" s="5">
        <f>IFERROR(IF(OR(N25="",R25="",J25=""),"",N25*R25*J25*2),"")</f>
        <v/>
      </c>
    </row>
    <row r="26">
      <c r="A26" t="n">
        <v>25</v>
      </c>
      <c r="G26" s="2" t="n"/>
      <c r="H26" s="2" t="n"/>
      <c r="I26" s="2" t="n"/>
      <c r="J26" s="3">
        <f>IFERROR(IF(OR(G26="",H26=""),"",ABS(G26-H26)),"")</f>
        <v/>
      </c>
      <c r="K26" s="2" t="n"/>
      <c r="L26" s="2" t="n"/>
      <c r="N26" s="4" t="n"/>
      <c r="O26" s="4" t="n"/>
      <c r="P26" s="4" t="n"/>
      <c r="Q26" s="2" t="n"/>
      <c r="S26" s="5">
        <f>IFERROR(IF(OR(N26="",R26="",J26=""),"",N26*R26*J26*2),"")</f>
        <v/>
      </c>
    </row>
    <row r="27">
      <c r="A27" t="n">
        <v>26</v>
      </c>
      <c r="G27" s="2" t="n"/>
      <c r="H27" s="2" t="n"/>
      <c r="I27" s="2" t="n"/>
      <c r="J27" s="3">
        <f>IFERROR(IF(OR(G27="",H27=""),"",ABS(G27-H27)),"")</f>
        <v/>
      </c>
      <c r="K27" s="2" t="n"/>
      <c r="L27" s="2" t="n"/>
      <c r="N27" s="4" t="n"/>
      <c r="O27" s="4" t="n"/>
      <c r="P27" s="4" t="n"/>
      <c r="Q27" s="2" t="n"/>
      <c r="S27" s="5">
        <f>IFERROR(IF(OR(N27="",R27="",J27=""),"",N27*R27*J27*2),"")</f>
        <v/>
      </c>
    </row>
    <row r="28">
      <c r="A28" t="n">
        <v>27</v>
      </c>
      <c r="G28" s="2" t="n"/>
      <c r="H28" s="2" t="n"/>
      <c r="I28" s="2" t="n"/>
      <c r="J28" s="3">
        <f>IFERROR(IF(OR(G28="",H28=""),"",ABS(G28-H28)),"")</f>
        <v/>
      </c>
      <c r="K28" s="2" t="n"/>
      <c r="L28" s="2" t="n"/>
      <c r="N28" s="4" t="n"/>
      <c r="O28" s="4" t="n"/>
      <c r="P28" s="4" t="n"/>
      <c r="Q28" s="2" t="n"/>
      <c r="S28" s="5">
        <f>IFERROR(IF(OR(N28="",R28="",J28=""),"",N28*R28*J28*2),"")</f>
        <v/>
      </c>
    </row>
    <row r="29">
      <c r="A29" t="n">
        <v>28</v>
      </c>
      <c r="G29" s="2" t="n"/>
      <c r="H29" s="2" t="n"/>
      <c r="I29" s="2" t="n"/>
      <c r="J29" s="3">
        <f>IFERROR(IF(OR(G29="",H29=""),"",ABS(G29-H29)),"")</f>
        <v/>
      </c>
      <c r="K29" s="2" t="n"/>
      <c r="L29" s="2" t="n"/>
      <c r="N29" s="4" t="n"/>
      <c r="O29" s="4" t="n"/>
      <c r="P29" s="4" t="n"/>
      <c r="Q29" s="2" t="n"/>
      <c r="S29" s="5">
        <f>IFERROR(IF(OR(N29="",R29="",J29=""),"",N29*R29*J29*2),"")</f>
        <v/>
      </c>
    </row>
    <row r="30">
      <c r="A30" t="n">
        <v>29</v>
      </c>
      <c r="G30" s="2" t="n"/>
      <c r="H30" s="2" t="n"/>
      <c r="I30" s="2" t="n"/>
      <c r="J30" s="3">
        <f>IFERROR(IF(OR(G30="",H30=""),"",ABS(G30-H30)),"")</f>
        <v/>
      </c>
      <c r="K30" s="2" t="n"/>
      <c r="L30" s="2" t="n"/>
      <c r="N30" s="4" t="n"/>
      <c r="O30" s="4" t="n"/>
      <c r="P30" s="4" t="n"/>
      <c r="Q30" s="2" t="n"/>
      <c r="S30" s="5">
        <f>IFERROR(IF(OR(N30="",R30="",J30=""),"",N30*R30*J30*2),"")</f>
        <v/>
      </c>
    </row>
    <row r="31">
      <c r="A31" t="n">
        <v>30</v>
      </c>
      <c r="G31" s="2" t="n"/>
      <c r="H31" s="2" t="n"/>
      <c r="I31" s="2" t="n"/>
      <c r="J31" s="3">
        <f>IFERROR(IF(OR(G31="",H31=""),"",ABS(G31-H31)),"")</f>
        <v/>
      </c>
      <c r="K31" s="2" t="n"/>
      <c r="L31" s="2" t="n"/>
      <c r="N31" s="4" t="n"/>
      <c r="O31" s="4" t="n"/>
      <c r="P31" s="4" t="n"/>
      <c r="Q31" s="2" t="n"/>
      <c r="S31" s="5">
        <f>IFERROR(IF(OR(N31="",R31="",J31=""),"",N31*R31*J31*2),"")</f>
        <v/>
      </c>
    </row>
    <row r="32">
      <c r="A32" t="n">
        <v>31</v>
      </c>
      <c r="G32" s="2" t="n"/>
      <c r="H32" s="2" t="n"/>
      <c r="I32" s="2" t="n"/>
      <c r="J32" s="3">
        <f>IFERROR(IF(OR(G32="",H32=""),"",ABS(G32-H32)),"")</f>
        <v/>
      </c>
      <c r="K32" s="2" t="n"/>
      <c r="L32" s="2" t="n"/>
      <c r="N32" s="4" t="n"/>
      <c r="O32" s="4" t="n"/>
      <c r="P32" s="4" t="n"/>
      <c r="Q32" s="2" t="n"/>
      <c r="S32" s="5">
        <f>IFERROR(IF(OR(N32="",R32="",J32=""),"",N32*R32*J32*2),"")</f>
        <v/>
      </c>
    </row>
    <row r="33">
      <c r="A33" t="n">
        <v>32</v>
      </c>
      <c r="G33" s="2" t="n"/>
      <c r="H33" s="2" t="n"/>
      <c r="I33" s="2" t="n"/>
      <c r="J33" s="3">
        <f>IFERROR(IF(OR(G33="",H33=""),"",ABS(G33-H33)),"")</f>
        <v/>
      </c>
      <c r="K33" s="2" t="n"/>
      <c r="L33" s="2" t="n"/>
      <c r="N33" s="4" t="n"/>
      <c r="O33" s="4" t="n"/>
      <c r="P33" s="4" t="n"/>
      <c r="Q33" s="2" t="n"/>
      <c r="S33" s="5">
        <f>IFERROR(IF(OR(N33="",R33="",J33=""),"",N33*R33*J33*2),"")</f>
        <v/>
      </c>
    </row>
    <row r="34">
      <c r="A34" t="n">
        <v>33</v>
      </c>
      <c r="G34" s="2" t="n"/>
      <c r="H34" s="2" t="n"/>
      <c r="I34" s="2" t="n"/>
      <c r="J34" s="3">
        <f>IFERROR(IF(OR(G34="",H34=""),"",ABS(G34-H34)),"")</f>
        <v/>
      </c>
      <c r="K34" s="2" t="n"/>
      <c r="L34" s="2" t="n"/>
      <c r="N34" s="4" t="n"/>
      <c r="O34" s="4" t="n"/>
      <c r="P34" s="4" t="n"/>
      <c r="Q34" s="2" t="n"/>
      <c r="S34" s="5">
        <f>IFERROR(IF(OR(N34="",R34="",J34=""),"",N34*R34*J34*2),"")</f>
        <v/>
      </c>
    </row>
    <row r="35">
      <c r="A35" t="n">
        <v>34</v>
      </c>
      <c r="G35" s="2" t="n"/>
      <c r="H35" s="2" t="n"/>
      <c r="I35" s="2" t="n"/>
      <c r="J35" s="3">
        <f>IFERROR(IF(OR(G35="",H35=""),"",ABS(G35-H35)),"")</f>
        <v/>
      </c>
      <c r="K35" s="2" t="n"/>
      <c r="L35" s="2" t="n"/>
      <c r="N35" s="4" t="n"/>
      <c r="O35" s="4" t="n"/>
      <c r="P35" s="4" t="n"/>
      <c r="Q35" s="2" t="n"/>
      <c r="S35" s="5">
        <f>IFERROR(IF(OR(N35="",R35="",J35=""),"",N35*R35*J35*2),"")</f>
        <v/>
      </c>
    </row>
    <row r="36">
      <c r="A36" t="n">
        <v>35</v>
      </c>
      <c r="G36" s="2" t="n"/>
      <c r="H36" s="2" t="n"/>
      <c r="I36" s="2" t="n"/>
      <c r="J36" s="3">
        <f>IFERROR(IF(OR(G36="",H36=""),"",ABS(G36-H36)),"")</f>
        <v/>
      </c>
      <c r="K36" s="2" t="n"/>
      <c r="L36" s="2" t="n"/>
      <c r="N36" s="4" t="n"/>
      <c r="O36" s="4" t="n"/>
      <c r="P36" s="4" t="n"/>
      <c r="Q36" s="2" t="n"/>
      <c r="S36" s="5">
        <f>IFERROR(IF(OR(N36="",R36="",J36=""),"",N36*R36*J36*2),"")</f>
        <v/>
      </c>
    </row>
    <row r="37">
      <c r="A37" t="n">
        <v>36</v>
      </c>
      <c r="G37" s="2" t="n"/>
      <c r="H37" s="2" t="n"/>
      <c r="I37" s="2" t="n"/>
      <c r="J37" s="3">
        <f>IFERROR(IF(OR(G37="",H37=""),"",ABS(G37-H37)),"")</f>
        <v/>
      </c>
      <c r="K37" s="2" t="n"/>
      <c r="L37" s="2" t="n"/>
      <c r="N37" s="4" t="n"/>
      <c r="O37" s="4" t="n"/>
      <c r="P37" s="4" t="n"/>
      <c r="Q37" s="2" t="n"/>
      <c r="S37" s="5">
        <f>IFERROR(IF(OR(N37="",R37="",J37=""),"",N37*R37*J37*2),"")</f>
        <v/>
      </c>
    </row>
    <row r="38">
      <c r="A38" t="n">
        <v>37</v>
      </c>
      <c r="G38" s="2" t="n"/>
      <c r="H38" s="2" t="n"/>
      <c r="I38" s="2" t="n"/>
      <c r="J38" s="3">
        <f>IFERROR(IF(OR(G38="",H38=""),"",ABS(G38-H38)),"")</f>
        <v/>
      </c>
      <c r="K38" s="2" t="n"/>
      <c r="L38" s="2" t="n"/>
      <c r="N38" s="4" t="n"/>
      <c r="O38" s="4" t="n"/>
      <c r="P38" s="4" t="n"/>
      <c r="Q38" s="2" t="n"/>
      <c r="S38" s="5">
        <f>IFERROR(IF(OR(N38="",R38="",J38=""),"",N38*R38*J38*2),"")</f>
        <v/>
      </c>
    </row>
    <row r="39">
      <c r="A39" t="n">
        <v>38</v>
      </c>
      <c r="G39" s="2" t="n"/>
      <c r="H39" s="2" t="n"/>
      <c r="I39" s="2" t="n"/>
      <c r="J39" s="3">
        <f>IFERROR(IF(OR(G39="",H39=""),"",ABS(G39-H39)),"")</f>
        <v/>
      </c>
      <c r="K39" s="2" t="n"/>
      <c r="L39" s="2" t="n"/>
      <c r="N39" s="4" t="n"/>
      <c r="O39" s="4" t="n"/>
      <c r="P39" s="4" t="n"/>
      <c r="Q39" s="2" t="n"/>
      <c r="S39" s="5">
        <f>IFERROR(IF(OR(N39="",R39="",J39=""),"",N39*R39*J39*2),"")</f>
        <v/>
      </c>
    </row>
    <row r="40">
      <c r="A40" t="n">
        <v>39</v>
      </c>
      <c r="G40" s="2" t="n"/>
      <c r="H40" s="2" t="n"/>
      <c r="I40" s="2" t="n"/>
      <c r="J40" s="3">
        <f>IFERROR(IF(OR(G40="",H40=""),"",ABS(G40-H40)),"")</f>
        <v/>
      </c>
      <c r="K40" s="2" t="n"/>
      <c r="L40" s="2" t="n"/>
      <c r="N40" s="4" t="n"/>
      <c r="O40" s="4" t="n"/>
      <c r="P40" s="4" t="n"/>
      <c r="Q40" s="2" t="n"/>
      <c r="S40" s="5">
        <f>IFERROR(IF(OR(N40="",R40="",J40=""),"",N40*R40*J40*2),"")</f>
        <v/>
      </c>
    </row>
    <row r="41">
      <c r="A41" t="n">
        <v>40</v>
      </c>
      <c r="G41" s="2" t="n"/>
      <c r="H41" s="2" t="n"/>
      <c r="I41" s="2" t="n"/>
      <c r="J41" s="3">
        <f>IFERROR(IF(OR(G41="",H41=""),"",ABS(G41-H41)),"")</f>
        <v/>
      </c>
      <c r="K41" s="2" t="n"/>
      <c r="L41" s="2" t="n"/>
      <c r="N41" s="4" t="n"/>
      <c r="O41" s="4" t="n"/>
      <c r="P41" s="4" t="n"/>
      <c r="Q41" s="2" t="n"/>
      <c r="S41" s="5">
        <f>IFERROR(IF(OR(N41="",R41="",J41=""),"",N41*R41*J41*2),"")</f>
        <v/>
      </c>
    </row>
    <row r="42">
      <c r="A42" t="n">
        <v>41</v>
      </c>
      <c r="G42" s="2" t="n"/>
      <c r="H42" s="2" t="n"/>
      <c r="I42" s="2" t="n"/>
      <c r="J42" s="3">
        <f>IFERROR(IF(OR(G42="",H42=""),"",ABS(G42-H42)),"")</f>
        <v/>
      </c>
      <c r="K42" s="2" t="n"/>
      <c r="L42" s="2" t="n"/>
      <c r="N42" s="4" t="n"/>
      <c r="O42" s="4" t="n"/>
      <c r="P42" s="4" t="n"/>
      <c r="Q42" s="2" t="n"/>
      <c r="S42" s="5">
        <f>IFERROR(IF(OR(N42="",R42="",J42=""),"",N42*R42*J42*2),"")</f>
        <v/>
      </c>
    </row>
    <row r="43">
      <c r="A43" t="n">
        <v>42</v>
      </c>
      <c r="G43" s="2" t="n"/>
      <c r="H43" s="2" t="n"/>
      <c r="I43" s="2" t="n"/>
      <c r="J43" s="3">
        <f>IFERROR(IF(OR(G43="",H43=""),"",ABS(G43-H43)),"")</f>
        <v/>
      </c>
      <c r="K43" s="2" t="n"/>
      <c r="L43" s="2" t="n"/>
      <c r="N43" s="4" t="n"/>
      <c r="O43" s="4" t="n"/>
      <c r="P43" s="4" t="n"/>
      <c r="Q43" s="2" t="n"/>
      <c r="S43" s="5">
        <f>IFERROR(IF(OR(N43="",R43="",J43=""),"",N43*R43*J43*2),"")</f>
        <v/>
      </c>
    </row>
    <row r="44">
      <c r="A44" t="n">
        <v>43</v>
      </c>
      <c r="G44" s="2" t="n"/>
      <c r="H44" s="2" t="n"/>
      <c r="I44" s="2" t="n"/>
      <c r="J44" s="3">
        <f>IFERROR(IF(OR(G44="",H44=""),"",ABS(G44-H44)),"")</f>
        <v/>
      </c>
      <c r="K44" s="2" t="n"/>
      <c r="L44" s="2" t="n"/>
      <c r="N44" s="4" t="n"/>
      <c r="O44" s="4" t="n"/>
      <c r="P44" s="4" t="n"/>
      <c r="Q44" s="2" t="n"/>
      <c r="S44" s="5">
        <f>IFERROR(IF(OR(N44="",R44="",J44=""),"",N44*R44*J44*2),"")</f>
        <v/>
      </c>
    </row>
    <row r="45">
      <c r="A45" t="n">
        <v>44</v>
      </c>
      <c r="G45" s="2" t="n"/>
      <c r="H45" s="2" t="n"/>
      <c r="I45" s="2" t="n"/>
      <c r="J45" s="3">
        <f>IFERROR(IF(OR(G45="",H45=""),"",ABS(G45-H45)),"")</f>
        <v/>
      </c>
      <c r="K45" s="2" t="n"/>
      <c r="L45" s="2" t="n"/>
      <c r="N45" s="4" t="n"/>
      <c r="O45" s="4" t="n"/>
      <c r="P45" s="4" t="n"/>
      <c r="Q45" s="2" t="n"/>
      <c r="S45" s="5">
        <f>IFERROR(IF(OR(N45="",R45="",J45=""),"",N45*R45*J45*2),"")</f>
        <v/>
      </c>
    </row>
    <row r="46">
      <c r="A46" t="n">
        <v>45</v>
      </c>
      <c r="G46" s="2" t="n"/>
      <c r="H46" s="2" t="n"/>
      <c r="I46" s="2" t="n"/>
      <c r="J46" s="3">
        <f>IFERROR(IF(OR(G46="",H46=""),"",ABS(G46-H46)),"")</f>
        <v/>
      </c>
      <c r="K46" s="2" t="n"/>
      <c r="L46" s="2" t="n"/>
      <c r="N46" s="4" t="n"/>
      <c r="O46" s="4" t="n"/>
      <c r="P46" s="4" t="n"/>
      <c r="Q46" s="2" t="n"/>
      <c r="S46" s="5">
        <f>IFERROR(IF(OR(N46="",R46="",J46=""),"",N46*R46*J46*2),"")</f>
        <v/>
      </c>
    </row>
    <row r="47">
      <c r="A47" t="n">
        <v>46</v>
      </c>
      <c r="G47" s="2" t="n"/>
      <c r="H47" s="2" t="n"/>
      <c r="I47" s="2" t="n"/>
      <c r="J47" s="3">
        <f>IFERROR(IF(OR(G47="",H47=""),"",ABS(G47-H47)),"")</f>
        <v/>
      </c>
      <c r="K47" s="2" t="n"/>
      <c r="L47" s="2" t="n"/>
      <c r="N47" s="4" t="n"/>
      <c r="O47" s="4" t="n"/>
      <c r="P47" s="4" t="n"/>
      <c r="Q47" s="2" t="n"/>
      <c r="S47" s="5">
        <f>IFERROR(IF(OR(N47="",R47="",J47=""),"",N47*R47*J47*2),"")</f>
        <v/>
      </c>
    </row>
    <row r="48">
      <c r="A48" t="n">
        <v>47</v>
      </c>
      <c r="G48" s="2" t="n"/>
      <c r="H48" s="2" t="n"/>
      <c r="I48" s="2" t="n"/>
      <c r="J48" s="3">
        <f>IFERROR(IF(OR(G48="",H48=""),"",ABS(G48-H48)),"")</f>
        <v/>
      </c>
      <c r="K48" s="2" t="n"/>
      <c r="L48" s="2" t="n"/>
      <c r="N48" s="4" t="n"/>
      <c r="O48" s="4" t="n"/>
      <c r="P48" s="4" t="n"/>
      <c r="Q48" s="2" t="n"/>
      <c r="S48" s="5">
        <f>IFERROR(IF(OR(N48="",R48="",J48=""),"",N48*R48*J48*2),"")</f>
        <v/>
      </c>
    </row>
    <row r="49">
      <c r="A49" t="n">
        <v>48</v>
      </c>
      <c r="G49" s="2" t="n"/>
      <c r="H49" s="2" t="n"/>
      <c r="I49" s="2" t="n"/>
      <c r="J49" s="3">
        <f>IFERROR(IF(OR(G49="",H49=""),"",ABS(G49-H49)),"")</f>
        <v/>
      </c>
      <c r="K49" s="2" t="n"/>
      <c r="L49" s="2" t="n"/>
      <c r="N49" s="4" t="n"/>
      <c r="O49" s="4" t="n"/>
      <c r="P49" s="4" t="n"/>
      <c r="Q49" s="2" t="n"/>
      <c r="S49" s="5">
        <f>IFERROR(IF(OR(N49="",R49="",J49=""),"",N49*R49*J49*2),"")</f>
        <v/>
      </c>
    </row>
    <row r="50">
      <c r="A50" t="n">
        <v>49</v>
      </c>
      <c r="G50" s="2" t="n"/>
      <c r="H50" s="2" t="n"/>
      <c r="I50" s="2" t="n"/>
      <c r="J50" s="3">
        <f>IFERROR(IF(OR(G50="",H50=""),"",ABS(G50-H50)),"")</f>
        <v/>
      </c>
      <c r="K50" s="2" t="n"/>
      <c r="L50" s="2" t="n"/>
      <c r="N50" s="4" t="n"/>
      <c r="O50" s="4" t="n"/>
      <c r="P50" s="4" t="n"/>
      <c r="Q50" s="2" t="n"/>
      <c r="S50" s="5">
        <f>IFERROR(IF(OR(N50="",R50="",J50=""),"",N50*R50*J50*2),"")</f>
        <v/>
      </c>
    </row>
    <row r="51">
      <c r="A51" t="n">
        <v>50</v>
      </c>
      <c r="G51" s="2" t="n"/>
      <c r="H51" s="2" t="n"/>
      <c r="I51" s="2" t="n"/>
      <c r="J51" s="3">
        <f>IFERROR(IF(OR(G51="",H51=""),"",ABS(G51-H51)),"")</f>
        <v/>
      </c>
      <c r="K51" s="2" t="n"/>
      <c r="L51" s="2" t="n"/>
      <c r="N51" s="4" t="n"/>
      <c r="O51" s="4" t="n"/>
      <c r="P51" s="4" t="n"/>
      <c r="Q51" s="2" t="n"/>
      <c r="S51" s="5">
        <f>IFERROR(IF(OR(N51="",R51="",J51=""),"",N51*R51*J51*2),"")</f>
        <v/>
      </c>
    </row>
    <row r="52">
      <c r="A52" t="n">
        <v>51</v>
      </c>
      <c r="G52" s="2" t="n"/>
      <c r="H52" s="2" t="n"/>
      <c r="I52" s="2" t="n"/>
      <c r="J52" s="3">
        <f>IFERROR(IF(OR(G52="",H52=""),"",ABS(G52-H52)),"")</f>
        <v/>
      </c>
      <c r="K52" s="2" t="n"/>
      <c r="L52" s="2" t="n"/>
      <c r="N52" s="4" t="n"/>
      <c r="O52" s="4" t="n"/>
      <c r="P52" s="4" t="n"/>
      <c r="Q52" s="2" t="n"/>
      <c r="S52" s="5">
        <f>IFERROR(IF(OR(N52="",R52="",J52=""),"",N52*R52*J52*2),"")</f>
        <v/>
      </c>
    </row>
    <row r="53">
      <c r="A53" t="n">
        <v>52</v>
      </c>
      <c r="G53" s="2" t="n"/>
      <c r="H53" s="2" t="n"/>
      <c r="I53" s="2" t="n"/>
      <c r="J53" s="3">
        <f>IFERROR(IF(OR(G53="",H53=""),"",ABS(G53-H53)),"")</f>
        <v/>
      </c>
      <c r="K53" s="2" t="n"/>
      <c r="L53" s="2" t="n"/>
      <c r="N53" s="4" t="n"/>
      <c r="O53" s="4" t="n"/>
      <c r="P53" s="4" t="n"/>
      <c r="Q53" s="2" t="n"/>
      <c r="S53" s="5">
        <f>IFERROR(IF(OR(N53="",R53="",J53=""),"",N53*R53*J53*2),"")</f>
        <v/>
      </c>
    </row>
    <row r="54">
      <c r="A54" t="n">
        <v>53</v>
      </c>
      <c r="G54" s="2" t="n"/>
      <c r="H54" s="2" t="n"/>
      <c r="I54" s="2" t="n"/>
      <c r="J54" s="3">
        <f>IFERROR(IF(OR(G54="",H54=""),"",ABS(G54-H54)),"")</f>
        <v/>
      </c>
      <c r="K54" s="2" t="n"/>
      <c r="L54" s="2" t="n"/>
      <c r="N54" s="4" t="n"/>
      <c r="O54" s="4" t="n"/>
      <c r="P54" s="4" t="n"/>
      <c r="Q54" s="2" t="n"/>
      <c r="S54" s="5">
        <f>IFERROR(IF(OR(N54="",R54="",J54=""),"",N54*R54*J54*2),"")</f>
        <v/>
      </c>
    </row>
    <row r="55">
      <c r="A55" t="n">
        <v>54</v>
      </c>
      <c r="G55" s="2" t="n"/>
      <c r="H55" s="2" t="n"/>
      <c r="I55" s="2" t="n"/>
      <c r="J55" s="3">
        <f>IFERROR(IF(OR(G55="",H55=""),"",ABS(G55-H55)),"")</f>
        <v/>
      </c>
      <c r="K55" s="2" t="n"/>
      <c r="L55" s="2" t="n"/>
      <c r="N55" s="4" t="n"/>
      <c r="O55" s="4" t="n"/>
      <c r="P55" s="4" t="n"/>
      <c r="Q55" s="2" t="n"/>
      <c r="S55" s="5">
        <f>IFERROR(IF(OR(N55="",R55="",J55=""),"",N55*R55*J55*2),"")</f>
        <v/>
      </c>
    </row>
    <row r="56">
      <c r="A56" t="n">
        <v>55</v>
      </c>
      <c r="G56" s="2" t="n"/>
      <c r="H56" s="2" t="n"/>
      <c r="I56" s="2" t="n"/>
      <c r="J56" s="3">
        <f>IFERROR(IF(OR(G56="",H56=""),"",ABS(G56-H56)),"")</f>
        <v/>
      </c>
      <c r="K56" s="2" t="n"/>
      <c r="L56" s="2" t="n"/>
      <c r="N56" s="4" t="n"/>
      <c r="O56" s="4" t="n"/>
      <c r="P56" s="4" t="n"/>
      <c r="Q56" s="2" t="n"/>
      <c r="S56" s="5">
        <f>IFERROR(IF(OR(N56="",R56="",J56=""),"",N56*R56*J56*2),"")</f>
        <v/>
      </c>
    </row>
    <row r="57">
      <c r="A57" t="n">
        <v>56</v>
      </c>
      <c r="G57" s="2" t="n"/>
      <c r="H57" s="2" t="n"/>
      <c r="I57" s="2" t="n"/>
      <c r="J57" s="3">
        <f>IFERROR(IF(OR(G57="",H57=""),"",ABS(G57-H57)),"")</f>
        <v/>
      </c>
      <c r="K57" s="2" t="n"/>
      <c r="L57" s="2" t="n"/>
      <c r="N57" s="4" t="n"/>
      <c r="O57" s="4" t="n"/>
      <c r="P57" s="4" t="n"/>
      <c r="Q57" s="2" t="n"/>
      <c r="S57" s="5">
        <f>IFERROR(IF(OR(N57="",R57="",J57=""),"",N57*R57*J57*2),"")</f>
        <v/>
      </c>
    </row>
    <row r="58">
      <c r="A58" t="n">
        <v>57</v>
      </c>
      <c r="G58" s="2" t="n"/>
      <c r="H58" s="2" t="n"/>
      <c r="I58" s="2" t="n"/>
      <c r="J58" s="3">
        <f>IFERROR(IF(OR(G58="",H58=""),"",ABS(G58-H58)),"")</f>
        <v/>
      </c>
      <c r="K58" s="2" t="n"/>
      <c r="L58" s="2" t="n"/>
      <c r="N58" s="4" t="n"/>
      <c r="O58" s="4" t="n"/>
      <c r="P58" s="4" t="n"/>
      <c r="Q58" s="2" t="n"/>
      <c r="S58" s="5">
        <f>IFERROR(IF(OR(N58="",R58="",J58=""),"",N58*R58*J58*2),"")</f>
        <v/>
      </c>
    </row>
    <row r="59">
      <c r="A59" t="n">
        <v>58</v>
      </c>
      <c r="G59" s="2" t="n"/>
      <c r="H59" s="2" t="n"/>
      <c r="I59" s="2" t="n"/>
      <c r="J59" s="3">
        <f>IFERROR(IF(OR(G59="",H59=""),"",ABS(G59-H59)),"")</f>
        <v/>
      </c>
      <c r="K59" s="2" t="n"/>
      <c r="L59" s="2" t="n"/>
      <c r="N59" s="4" t="n"/>
      <c r="O59" s="4" t="n"/>
      <c r="P59" s="4" t="n"/>
      <c r="Q59" s="2" t="n"/>
      <c r="S59" s="5">
        <f>IFERROR(IF(OR(N59="",R59="",J59=""),"",N59*R59*J59*2),"")</f>
        <v/>
      </c>
    </row>
    <row r="60">
      <c r="A60" t="n">
        <v>59</v>
      </c>
      <c r="G60" s="2" t="n"/>
      <c r="H60" s="2" t="n"/>
      <c r="I60" s="2" t="n"/>
      <c r="J60" s="3">
        <f>IFERROR(IF(OR(G60="",H60=""),"",ABS(G60-H60)),"")</f>
        <v/>
      </c>
      <c r="K60" s="2" t="n"/>
      <c r="L60" s="2" t="n"/>
      <c r="N60" s="4" t="n"/>
      <c r="O60" s="4" t="n"/>
      <c r="P60" s="4" t="n"/>
      <c r="Q60" s="2" t="n"/>
      <c r="S60" s="5">
        <f>IFERROR(IF(OR(N60="",R60="",J60=""),"",N60*R60*J60*2),"")</f>
        <v/>
      </c>
    </row>
    <row r="61">
      <c r="A61" t="n">
        <v>60</v>
      </c>
      <c r="G61" s="2" t="n"/>
      <c r="H61" s="2" t="n"/>
      <c r="I61" s="2" t="n"/>
      <c r="J61" s="3">
        <f>IFERROR(IF(OR(G61="",H61=""),"",ABS(G61-H61)),"")</f>
        <v/>
      </c>
      <c r="K61" s="2" t="n"/>
      <c r="L61" s="2" t="n"/>
      <c r="N61" s="4" t="n"/>
      <c r="O61" s="4" t="n"/>
      <c r="P61" s="4" t="n"/>
      <c r="Q61" s="2" t="n"/>
      <c r="S61" s="5">
        <f>IFERROR(IF(OR(N61="",R61="",J61=""),"",N61*R61*J61*2),"")</f>
        <v/>
      </c>
    </row>
    <row r="62">
      <c r="A62" t="n">
        <v>61</v>
      </c>
      <c r="G62" s="2" t="n"/>
      <c r="H62" s="2" t="n"/>
      <c r="I62" s="2" t="n"/>
      <c r="J62" s="3">
        <f>IFERROR(IF(OR(G62="",H62=""),"",ABS(G62-H62)),"")</f>
        <v/>
      </c>
      <c r="K62" s="2" t="n"/>
      <c r="L62" s="2" t="n"/>
      <c r="N62" s="4" t="n"/>
      <c r="O62" s="4" t="n"/>
      <c r="P62" s="4" t="n"/>
      <c r="Q62" s="2" t="n"/>
      <c r="S62" s="5">
        <f>IFERROR(IF(OR(N62="",R62="",J62=""),"",N62*R62*J62*2),"")</f>
        <v/>
      </c>
    </row>
    <row r="63">
      <c r="A63" t="n">
        <v>62</v>
      </c>
      <c r="G63" s="2" t="n"/>
      <c r="H63" s="2" t="n"/>
      <c r="I63" s="2" t="n"/>
      <c r="J63" s="3">
        <f>IFERROR(IF(OR(G63="",H63=""),"",ABS(G63-H63)),"")</f>
        <v/>
      </c>
      <c r="K63" s="2" t="n"/>
      <c r="L63" s="2" t="n"/>
      <c r="N63" s="4" t="n"/>
      <c r="O63" s="4" t="n"/>
      <c r="P63" s="4" t="n"/>
      <c r="Q63" s="2" t="n"/>
      <c r="S63" s="5">
        <f>IFERROR(IF(OR(N63="",R63="",J63=""),"",N63*R63*J63*2),"")</f>
        <v/>
      </c>
    </row>
    <row r="64">
      <c r="A64" t="n">
        <v>63</v>
      </c>
      <c r="G64" s="2" t="n"/>
      <c r="H64" s="2" t="n"/>
      <c r="I64" s="2" t="n"/>
      <c r="J64" s="3">
        <f>IFERROR(IF(OR(G64="",H64=""),"",ABS(G64-H64)),"")</f>
        <v/>
      </c>
      <c r="K64" s="2" t="n"/>
      <c r="L64" s="2" t="n"/>
      <c r="N64" s="4" t="n"/>
      <c r="O64" s="4" t="n"/>
      <c r="P64" s="4" t="n"/>
      <c r="Q64" s="2" t="n"/>
      <c r="S64" s="5">
        <f>IFERROR(IF(OR(N64="",R64="",J64=""),"",N64*R64*J64*2),"")</f>
        <v/>
      </c>
    </row>
    <row r="65">
      <c r="A65" t="n">
        <v>64</v>
      </c>
      <c r="G65" s="2" t="n"/>
      <c r="H65" s="2" t="n"/>
      <c r="I65" s="2" t="n"/>
      <c r="J65" s="3">
        <f>IFERROR(IF(OR(G65="",H65=""),"",ABS(G65-H65)),"")</f>
        <v/>
      </c>
      <c r="K65" s="2" t="n"/>
      <c r="L65" s="2" t="n"/>
      <c r="N65" s="4" t="n"/>
      <c r="O65" s="4" t="n"/>
      <c r="P65" s="4" t="n"/>
      <c r="Q65" s="2" t="n"/>
      <c r="S65" s="5">
        <f>IFERROR(IF(OR(N65="",R65="",J65=""),"",N65*R65*J65*2),"")</f>
        <v/>
      </c>
    </row>
    <row r="66">
      <c r="A66" t="n">
        <v>65</v>
      </c>
      <c r="G66" s="2" t="n"/>
      <c r="H66" s="2" t="n"/>
      <c r="I66" s="2" t="n"/>
      <c r="J66" s="3">
        <f>IFERROR(IF(OR(G66="",H66=""),"",ABS(G66-H66)),"")</f>
        <v/>
      </c>
      <c r="K66" s="2" t="n"/>
      <c r="L66" s="2" t="n"/>
      <c r="N66" s="4" t="n"/>
      <c r="O66" s="4" t="n"/>
      <c r="P66" s="4" t="n"/>
      <c r="Q66" s="2" t="n"/>
      <c r="S66" s="5">
        <f>IFERROR(IF(OR(N66="",R66="",J66=""),"",N66*R66*J66*2),"")</f>
        <v/>
      </c>
    </row>
    <row r="67">
      <c r="A67" t="n">
        <v>66</v>
      </c>
      <c r="G67" s="2" t="n"/>
      <c r="H67" s="2" t="n"/>
      <c r="I67" s="2" t="n"/>
      <c r="J67" s="3">
        <f>IFERROR(IF(OR(G67="",H67=""),"",ABS(G67-H67)),"")</f>
        <v/>
      </c>
      <c r="K67" s="2" t="n"/>
      <c r="L67" s="2" t="n"/>
      <c r="N67" s="4" t="n"/>
      <c r="O67" s="4" t="n"/>
      <c r="P67" s="4" t="n"/>
      <c r="Q67" s="2" t="n"/>
      <c r="S67" s="5">
        <f>IFERROR(IF(OR(N67="",R67="",J67=""),"",N67*R67*J67*2),"")</f>
        <v/>
      </c>
    </row>
    <row r="68">
      <c r="A68" t="n">
        <v>67</v>
      </c>
      <c r="G68" s="2" t="n"/>
      <c r="H68" s="2" t="n"/>
      <c r="I68" s="2" t="n"/>
      <c r="J68" s="3">
        <f>IFERROR(IF(OR(G68="",H68=""),"",ABS(G68-H68)),"")</f>
        <v/>
      </c>
      <c r="K68" s="2" t="n"/>
      <c r="L68" s="2" t="n"/>
      <c r="N68" s="4" t="n"/>
      <c r="O68" s="4" t="n"/>
      <c r="P68" s="4" t="n"/>
      <c r="Q68" s="2" t="n"/>
      <c r="S68" s="5">
        <f>IFERROR(IF(OR(N68="",R68="",J68=""),"",N68*R68*J68*2),"")</f>
        <v/>
      </c>
    </row>
    <row r="69">
      <c r="A69" t="n">
        <v>68</v>
      </c>
      <c r="G69" s="2" t="n"/>
      <c r="H69" s="2" t="n"/>
      <c r="I69" s="2" t="n"/>
      <c r="J69" s="3">
        <f>IFERROR(IF(OR(G69="",H69=""),"",ABS(G69-H69)),"")</f>
        <v/>
      </c>
      <c r="K69" s="2" t="n"/>
      <c r="L69" s="2" t="n"/>
      <c r="N69" s="4" t="n"/>
      <c r="O69" s="4" t="n"/>
      <c r="P69" s="4" t="n"/>
      <c r="Q69" s="2" t="n"/>
      <c r="S69" s="5">
        <f>IFERROR(IF(OR(N69="",R69="",J69=""),"",N69*R69*J69*2),"")</f>
        <v/>
      </c>
    </row>
    <row r="70">
      <c r="A70" t="n">
        <v>69</v>
      </c>
      <c r="G70" s="2" t="n"/>
      <c r="H70" s="2" t="n"/>
      <c r="I70" s="2" t="n"/>
      <c r="J70" s="3">
        <f>IFERROR(IF(OR(G70="",H70=""),"",ABS(G70-H70)),"")</f>
        <v/>
      </c>
      <c r="K70" s="2" t="n"/>
      <c r="L70" s="2" t="n"/>
      <c r="N70" s="4" t="n"/>
      <c r="O70" s="4" t="n"/>
      <c r="P70" s="4" t="n"/>
      <c r="Q70" s="2" t="n"/>
      <c r="S70" s="5">
        <f>IFERROR(IF(OR(N70="",R70="",J70=""),"",N70*R70*J70*2),"")</f>
        <v/>
      </c>
    </row>
    <row r="71">
      <c r="A71" t="n">
        <v>70</v>
      </c>
      <c r="G71" s="2" t="n"/>
      <c r="H71" s="2" t="n"/>
      <c r="I71" s="2" t="n"/>
      <c r="J71" s="3">
        <f>IFERROR(IF(OR(G71="",H71=""),"",ABS(G71-H71)),"")</f>
        <v/>
      </c>
      <c r="K71" s="2" t="n"/>
      <c r="L71" s="2" t="n"/>
      <c r="N71" s="4" t="n"/>
      <c r="O71" s="4" t="n"/>
      <c r="P71" s="4" t="n"/>
      <c r="Q71" s="2" t="n"/>
      <c r="S71" s="5">
        <f>IFERROR(IF(OR(N71="",R71="",J71=""),"",N71*R71*J71*2),"")</f>
        <v/>
      </c>
    </row>
    <row r="72">
      <c r="A72" t="n">
        <v>71</v>
      </c>
      <c r="G72" s="2" t="n"/>
      <c r="H72" s="2" t="n"/>
      <c r="I72" s="2" t="n"/>
      <c r="J72" s="3">
        <f>IFERROR(IF(OR(G72="",H72=""),"",ABS(G72-H72)),"")</f>
        <v/>
      </c>
      <c r="K72" s="2" t="n"/>
      <c r="L72" s="2" t="n"/>
      <c r="N72" s="4" t="n"/>
      <c r="O72" s="4" t="n"/>
      <c r="P72" s="4" t="n"/>
      <c r="Q72" s="2" t="n"/>
      <c r="S72" s="5">
        <f>IFERROR(IF(OR(N72="",R72="",J72=""),"",N72*R72*J72*2),"")</f>
        <v/>
      </c>
    </row>
    <row r="73">
      <c r="A73" t="n">
        <v>72</v>
      </c>
      <c r="G73" s="2" t="n"/>
      <c r="H73" s="2" t="n"/>
      <c r="I73" s="2" t="n"/>
      <c r="J73" s="3">
        <f>IFERROR(IF(OR(G73="",H73=""),"",ABS(G73-H73)),"")</f>
        <v/>
      </c>
      <c r="K73" s="2" t="n"/>
      <c r="L73" s="2" t="n"/>
      <c r="N73" s="4" t="n"/>
      <c r="O73" s="4" t="n"/>
      <c r="P73" s="4" t="n"/>
      <c r="Q73" s="2" t="n"/>
      <c r="S73" s="5">
        <f>IFERROR(IF(OR(N73="",R73="",J73=""),"",N73*R73*J73*2),"")</f>
        <v/>
      </c>
    </row>
    <row r="74">
      <c r="A74" t="n">
        <v>73</v>
      </c>
      <c r="G74" s="2" t="n"/>
      <c r="H74" s="2" t="n"/>
      <c r="I74" s="2" t="n"/>
      <c r="J74" s="3">
        <f>IFERROR(IF(OR(G74="",H74=""),"",ABS(G74-H74)),"")</f>
        <v/>
      </c>
      <c r="K74" s="2" t="n"/>
      <c r="L74" s="2" t="n"/>
      <c r="N74" s="4" t="n"/>
      <c r="O74" s="4" t="n"/>
      <c r="P74" s="4" t="n"/>
      <c r="Q74" s="2" t="n"/>
      <c r="S74" s="5">
        <f>IFERROR(IF(OR(N74="",R74="",J74=""),"",N74*R74*J74*2),"")</f>
        <v/>
      </c>
    </row>
    <row r="75">
      <c r="A75" t="n">
        <v>74</v>
      </c>
      <c r="G75" s="2" t="n"/>
      <c r="H75" s="2" t="n"/>
      <c r="I75" s="2" t="n"/>
      <c r="J75" s="3">
        <f>IFERROR(IF(OR(G75="",H75=""),"",ABS(G75-H75)),"")</f>
        <v/>
      </c>
      <c r="K75" s="2" t="n"/>
      <c r="L75" s="2" t="n"/>
      <c r="N75" s="4" t="n"/>
      <c r="O75" s="4" t="n"/>
      <c r="P75" s="4" t="n"/>
      <c r="Q75" s="2" t="n"/>
      <c r="S75" s="5">
        <f>IFERROR(IF(OR(N75="",R75="",J75=""),"",N75*R75*J75*2),"")</f>
        <v/>
      </c>
    </row>
    <row r="76">
      <c r="A76" t="n">
        <v>75</v>
      </c>
      <c r="G76" s="2" t="n"/>
      <c r="H76" s="2" t="n"/>
      <c r="I76" s="2" t="n"/>
      <c r="J76" s="3">
        <f>IFERROR(IF(OR(G76="",H76=""),"",ABS(G76-H76)),"")</f>
        <v/>
      </c>
      <c r="K76" s="2" t="n"/>
      <c r="L76" s="2" t="n"/>
      <c r="N76" s="4" t="n"/>
      <c r="O76" s="4" t="n"/>
      <c r="P76" s="4" t="n"/>
      <c r="Q76" s="2" t="n"/>
      <c r="S76" s="5">
        <f>IFERROR(IF(OR(N76="",R76="",J76=""),"",N76*R76*J76*2),"")</f>
        <v/>
      </c>
    </row>
    <row r="77">
      <c r="A77" t="n">
        <v>76</v>
      </c>
      <c r="G77" s="2" t="n"/>
      <c r="H77" s="2" t="n"/>
      <c r="I77" s="2" t="n"/>
      <c r="J77" s="3">
        <f>IFERROR(IF(OR(G77="",H77=""),"",ABS(G77-H77)),"")</f>
        <v/>
      </c>
      <c r="K77" s="2" t="n"/>
      <c r="L77" s="2" t="n"/>
      <c r="N77" s="4" t="n"/>
      <c r="O77" s="4" t="n"/>
      <c r="P77" s="4" t="n"/>
      <c r="Q77" s="2" t="n"/>
      <c r="S77" s="5">
        <f>IFERROR(IF(OR(N77="",R77="",J77=""),"",N77*R77*J77*2),"")</f>
        <v/>
      </c>
    </row>
    <row r="78">
      <c r="A78" t="n">
        <v>77</v>
      </c>
      <c r="G78" s="2" t="n"/>
      <c r="H78" s="2" t="n"/>
      <c r="I78" s="2" t="n"/>
      <c r="J78" s="3">
        <f>IFERROR(IF(OR(G78="",H78=""),"",ABS(G78-H78)),"")</f>
        <v/>
      </c>
      <c r="K78" s="2" t="n"/>
      <c r="L78" s="2" t="n"/>
      <c r="N78" s="4" t="n"/>
      <c r="O78" s="4" t="n"/>
      <c r="P78" s="4" t="n"/>
      <c r="Q78" s="2" t="n"/>
      <c r="S78" s="5">
        <f>IFERROR(IF(OR(N78="",R78="",J78=""),"",N78*R78*J78*2),"")</f>
        <v/>
      </c>
    </row>
    <row r="79">
      <c r="A79" t="n">
        <v>78</v>
      </c>
      <c r="G79" s="2" t="n"/>
      <c r="H79" s="2" t="n"/>
      <c r="I79" s="2" t="n"/>
      <c r="J79" s="3">
        <f>IFERROR(IF(OR(G79="",H79=""),"",ABS(G79-H79)),"")</f>
        <v/>
      </c>
      <c r="K79" s="2" t="n"/>
      <c r="L79" s="2" t="n"/>
      <c r="N79" s="4" t="n"/>
      <c r="O79" s="4" t="n"/>
      <c r="P79" s="4" t="n"/>
      <c r="Q79" s="2" t="n"/>
      <c r="S79" s="5">
        <f>IFERROR(IF(OR(N79="",R79="",J79=""),"",N79*R79*J79*2),"")</f>
        <v/>
      </c>
    </row>
    <row r="80">
      <c r="A80" t="n">
        <v>79</v>
      </c>
      <c r="G80" s="2" t="n"/>
      <c r="H80" s="2" t="n"/>
      <c r="I80" s="2" t="n"/>
      <c r="J80" s="3">
        <f>IFERROR(IF(OR(G80="",H80=""),"",ABS(G80-H80)),"")</f>
        <v/>
      </c>
      <c r="K80" s="2" t="n"/>
      <c r="L80" s="2" t="n"/>
      <c r="N80" s="4" t="n"/>
      <c r="O80" s="4" t="n"/>
      <c r="P80" s="4" t="n"/>
      <c r="Q80" s="2" t="n"/>
      <c r="S80" s="5">
        <f>IFERROR(IF(OR(N80="",R80="",J80=""),"",N80*R80*J80*2),"")</f>
        <v/>
      </c>
    </row>
    <row r="81">
      <c r="A81" t="n">
        <v>80</v>
      </c>
      <c r="G81" s="2" t="n"/>
      <c r="H81" s="2" t="n"/>
      <c r="I81" s="2" t="n"/>
      <c r="J81" s="3">
        <f>IFERROR(IF(OR(G81="",H81=""),"",ABS(G81-H81)),"")</f>
        <v/>
      </c>
      <c r="K81" s="2" t="n"/>
      <c r="L81" s="2" t="n"/>
      <c r="N81" s="4" t="n"/>
      <c r="O81" s="4" t="n"/>
      <c r="P81" s="4" t="n"/>
      <c r="Q81" s="2" t="n"/>
      <c r="S81" s="5">
        <f>IFERROR(IF(OR(N81="",R81="",J81=""),"",N81*R81*J81*2),"")</f>
        <v/>
      </c>
    </row>
    <row r="82">
      <c r="A82" t="n">
        <v>81</v>
      </c>
      <c r="G82" s="2" t="n"/>
      <c r="H82" s="2" t="n"/>
      <c r="I82" s="2" t="n"/>
      <c r="J82" s="3">
        <f>IFERROR(IF(OR(G82="",H82=""),"",ABS(G82-H82)),"")</f>
        <v/>
      </c>
      <c r="K82" s="2" t="n"/>
      <c r="L82" s="2" t="n"/>
      <c r="N82" s="4" t="n"/>
      <c r="O82" s="4" t="n"/>
      <c r="P82" s="4" t="n"/>
      <c r="Q82" s="2" t="n"/>
      <c r="S82" s="5">
        <f>IFERROR(IF(OR(N82="",R82="",J82=""),"",N82*R82*J82*2),"")</f>
        <v/>
      </c>
    </row>
    <row r="83">
      <c r="A83" t="n">
        <v>82</v>
      </c>
      <c r="G83" s="2" t="n"/>
      <c r="H83" s="2" t="n"/>
      <c r="I83" s="2" t="n"/>
      <c r="J83" s="3">
        <f>IFERROR(IF(OR(G83="",H83=""),"",ABS(G83-H83)),"")</f>
        <v/>
      </c>
      <c r="K83" s="2" t="n"/>
      <c r="L83" s="2" t="n"/>
      <c r="N83" s="4" t="n"/>
      <c r="O83" s="4" t="n"/>
      <c r="P83" s="4" t="n"/>
      <c r="Q83" s="2" t="n"/>
      <c r="S83" s="5">
        <f>IFERROR(IF(OR(N83="",R83="",J83=""),"",N83*R83*J83*2),"")</f>
        <v/>
      </c>
    </row>
    <row r="84">
      <c r="A84" t="n">
        <v>83</v>
      </c>
      <c r="G84" s="2" t="n"/>
      <c r="H84" s="2" t="n"/>
      <c r="I84" s="2" t="n"/>
      <c r="J84" s="3">
        <f>IFERROR(IF(OR(G84="",H84=""),"",ABS(G84-H84)),"")</f>
        <v/>
      </c>
      <c r="K84" s="2" t="n"/>
      <c r="L84" s="2" t="n"/>
      <c r="N84" s="4" t="n"/>
      <c r="O84" s="4" t="n"/>
      <c r="P84" s="4" t="n"/>
      <c r="Q84" s="2" t="n"/>
      <c r="S84" s="5">
        <f>IFERROR(IF(OR(N84="",R84="",J84=""),"",N84*R84*J84*2),"")</f>
        <v/>
      </c>
    </row>
    <row r="85">
      <c r="A85" t="n">
        <v>84</v>
      </c>
      <c r="G85" s="2" t="n"/>
      <c r="H85" s="2" t="n"/>
      <c r="I85" s="2" t="n"/>
      <c r="J85" s="3">
        <f>IFERROR(IF(OR(G85="",H85=""),"",ABS(G85-H85)),"")</f>
        <v/>
      </c>
      <c r="K85" s="2" t="n"/>
      <c r="L85" s="2" t="n"/>
      <c r="N85" s="4" t="n"/>
      <c r="O85" s="4" t="n"/>
      <c r="P85" s="4" t="n"/>
      <c r="Q85" s="2" t="n"/>
      <c r="S85" s="5">
        <f>IFERROR(IF(OR(N85="",R85="",J85=""),"",N85*R85*J85*2),"")</f>
        <v/>
      </c>
    </row>
    <row r="86">
      <c r="A86" t="n">
        <v>85</v>
      </c>
      <c r="G86" s="2" t="n"/>
      <c r="H86" s="2" t="n"/>
      <c r="I86" s="2" t="n"/>
      <c r="J86" s="3">
        <f>IFERROR(IF(OR(G86="",H86=""),"",ABS(G86-H86)),"")</f>
        <v/>
      </c>
      <c r="K86" s="2" t="n"/>
      <c r="L86" s="2" t="n"/>
      <c r="N86" s="4" t="n"/>
      <c r="O86" s="4" t="n"/>
      <c r="P86" s="4" t="n"/>
      <c r="Q86" s="2" t="n"/>
      <c r="S86" s="5">
        <f>IFERROR(IF(OR(N86="",R86="",J86=""),"",N86*R86*J86*2),"")</f>
        <v/>
      </c>
    </row>
    <row r="87">
      <c r="A87" t="n">
        <v>86</v>
      </c>
      <c r="G87" s="2" t="n"/>
      <c r="H87" s="2" t="n"/>
      <c r="I87" s="2" t="n"/>
      <c r="J87" s="3">
        <f>IFERROR(IF(OR(G87="",H87=""),"",ABS(G87-H87)),"")</f>
        <v/>
      </c>
      <c r="K87" s="2" t="n"/>
      <c r="L87" s="2" t="n"/>
      <c r="N87" s="4" t="n"/>
      <c r="O87" s="4" t="n"/>
      <c r="P87" s="4" t="n"/>
      <c r="Q87" s="2" t="n"/>
      <c r="S87" s="5">
        <f>IFERROR(IF(OR(N87="",R87="",J87=""),"",N87*R87*J87*2),"")</f>
        <v/>
      </c>
    </row>
    <row r="88">
      <c r="A88" t="n">
        <v>87</v>
      </c>
      <c r="G88" s="2" t="n"/>
      <c r="H88" s="2" t="n"/>
      <c r="I88" s="2" t="n"/>
      <c r="J88" s="3">
        <f>IFERROR(IF(OR(G88="",H88=""),"",ABS(G88-H88)),"")</f>
        <v/>
      </c>
      <c r="K88" s="2" t="n"/>
      <c r="L88" s="2" t="n"/>
      <c r="N88" s="4" t="n"/>
      <c r="O88" s="4" t="n"/>
      <c r="P88" s="4" t="n"/>
      <c r="Q88" s="2" t="n"/>
      <c r="S88" s="5">
        <f>IFERROR(IF(OR(N88="",R88="",J88=""),"",N88*R88*J88*2),"")</f>
        <v/>
      </c>
    </row>
    <row r="89">
      <c r="A89" t="n">
        <v>88</v>
      </c>
      <c r="G89" s="2" t="n"/>
      <c r="H89" s="2" t="n"/>
      <c r="I89" s="2" t="n"/>
      <c r="J89" s="3">
        <f>IFERROR(IF(OR(G89="",H89=""),"",ABS(G89-H89)),"")</f>
        <v/>
      </c>
      <c r="K89" s="2" t="n"/>
      <c r="L89" s="2" t="n"/>
      <c r="N89" s="4" t="n"/>
      <c r="O89" s="4" t="n"/>
      <c r="P89" s="4" t="n"/>
      <c r="Q89" s="2" t="n"/>
      <c r="S89" s="5">
        <f>IFERROR(IF(OR(N89="",R89="",J89=""),"",N89*R89*J89*2),"")</f>
        <v/>
      </c>
    </row>
    <row r="90">
      <c r="A90" t="n">
        <v>89</v>
      </c>
      <c r="G90" s="2" t="n"/>
      <c r="H90" s="2" t="n"/>
      <c r="I90" s="2" t="n"/>
      <c r="J90" s="3">
        <f>IFERROR(IF(OR(G90="",H90=""),"",ABS(G90-H90)),"")</f>
        <v/>
      </c>
      <c r="K90" s="2" t="n"/>
      <c r="L90" s="2" t="n"/>
      <c r="N90" s="4" t="n"/>
      <c r="O90" s="4" t="n"/>
      <c r="P90" s="4" t="n"/>
      <c r="Q90" s="2" t="n"/>
      <c r="S90" s="5">
        <f>IFERROR(IF(OR(N90="",R90="",J90=""),"",N90*R90*J90*2),"")</f>
        <v/>
      </c>
    </row>
    <row r="91">
      <c r="A91" t="n">
        <v>90</v>
      </c>
      <c r="G91" s="2" t="n"/>
      <c r="H91" s="2" t="n"/>
      <c r="I91" s="2" t="n"/>
      <c r="J91" s="3">
        <f>IFERROR(IF(OR(G91="",H91=""),"",ABS(G91-H91)),"")</f>
        <v/>
      </c>
      <c r="K91" s="2" t="n"/>
      <c r="L91" s="2" t="n"/>
      <c r="N91" s="4" t="n"/>
      <c r="O91" s="4" t="n"/>
      <c r="P91" s="4" t="n"/>
      <c r="Q91" s="2" t="n"/>
      <c r="S91" s="5">
        <f>IFERROR(IF(OR(N91="",R91="",J91=""),"",N91*R91*J91*2),"")</f>
        <v/>
      </c>
    </row>
    <row r="92">
      <c r="A92" t="n">
        <v>91</v>
      </c>
      <c r="G92" s="2" t="n"/>
      <c r="H92" s="2" t="n"/>
      <c r="I92" s="2" t="n"/>
      <c r="J92" s="3">
        <f>IFERROR(IF(OR(G92="",H92=""),"",ABS(G92-H92)),"")</f>
        <v/>
      </c>
      <c r="K92" s="2" t="n"/>
      <c r="L92" s="2" t="n"/>
      <c r="N92" s="4" t="n"/>
      <c r="O92" s="4" t="n"/>
      <c r="P92" s="4" t="n"/>
      <c r="Q92" s="2" t="n"/>
      <c r="S92" s="5">
        <f>IFERROR(IF(OR(N92="",R92="",J92=""),"",N92*R92*J92*2),"")</f>
        <v/>
      </c>
    </row>
    <row r="93">
      <c r="A93" t="n">
        <v>92</v>
      </c>
      <c r="G93" s="2" t="n"/>
      <c r="H93" s="2" t="n"/>
      <c r="I93" s="2" t="n"/>
      <c r="J93" s="3">
        <f>IFERROR(IF(OR(G93="",H93=""),"",ABS(G93-H93)),"")</f>
        <v/>
      </c>
      <c r="K93" s="2" t="n"/>
      <c r="L93" s="2" t="n"/>
      <c r="N93" s="4" t="n"/>
      <c r="O93" s="4" t="n"/>
      <c r="P93" s="4" t="n"/>
      <c r="Q93" s="2" t="n"/>
      <c r="S93" s="5">
        <f>IFERROR(IF(OR(N93="",R93="",J93=""),"",N93*R93*J93*2),"")</f>
        <v/>
      </c>
    </row>
    <row r="94">
      <c r="A94" t="n">
        <v>93</v>
      </c>
      <c r="G94" s="2" t="n"/>
      <c r="H94" s="2" t="n"/>
      <c r="I94" s="2" t="n"/>
      <c r="J94" s="3">
        <f>IFERROR(IF(OR(G94="",H94=""),"",ABS(G94-H94)),"")</f>
        <v/>
      </c>
      <c r="K94" s="2" t="n"/>
      <c r="L94" s="2" t="n"/>
      <c r="N94" s="4" t="n"/>
      <c r="O94" s="4" t="n"/>
      <c r="P94" s="4" t="n"/>
      <c r="Q94" s="2" t="n"/>
      <c r="S94" s="5">
        <f>IFERROR(IF(OR(N94="",R94="",J94=""),"",N94*R94*J94*2),"")</f>
        <v/>
      </c>
    </row>
    <row r="95">
      <c r="A95" t="n">
        <v>94</v>
      </c>
      <c r="G95" s="2" t="n"/>
      <c r="H95" s="2" t="n"/>
      <c r="I95" s="2" t="n"/>
      <c r="J95" s="3">
        <f>IFERROR(IF(OR(G95="",H95=""),"",ABS(G95-H95)),"")</f>
        <v/>
      </c>
      <c r="K95" s="2" t="n"/>
      <c r="L95" s="2" t="n"/>
      <c r="N95" s="4" t="n"/>
      <c r="O95" s="4" t="n"/>
      <c r="P95" s="4" t="n"/>
      <c r="Q95" s="2" t="n"/>
      <c r="S95" s="5">
        <f>IFERROR(IF(OR(N95="",R95="",J95=""),"",N95*R95*J95*2),"")</f>
        <v/>
      </c>
    </row>
    <row r="96">
      <c r="A96" t="n">
        <v>95</v>
      </c>
      <c r="G96" s="2" t="n"/>
      <c r="H96" s="2" t="n"/>
      <c r="I96" s="2" t="n"/>
      <c r="J96" s="3">
        <f>IFERROR(IF(OR(G96="",H96=""),"",ABS(G96-H96)),"")</f>
        <v/>
      </c>
      <c r="K96" s="2" t="n"/>
      <c r="L96" s="2" t="n"/>
      <c r="N96" s="4" t="n"/>
      <c r="O96" s="4" t="n"/>
      <c r="P96" s="4" t="n"/>
      <c r="Q96" s="2" t="n"/>
      <c r="S96" s="5">
        <f>IFERROR(IF(OR(N96="",R96="",J96=""),"",N96*R96*J96*2),"")</f>
        <v/>
      </c>
    </row>
    <row r="97">
      <c r="A97" t="n">
        <v>96</v>
      </c>
      <c r="G97" s="2" t="n"/>
      <c r="H97" s="2" t="n"/>
      <c r="I97" s="2" t="n"/>
      <c r="J97" s="3">
        <f>IFERROR(IF(OR(G97="",H97=""),"",ABS(G97-H97)),"")</f>
        <v/>
      </c>
      <c r="K97" s="2" t="n"/>
      <c r="L97" s="2" t="n"/>
      <c r="N97" s="4" t="n"/>
      <c r="O97" s="4" t="n"/>
      <c r="P97" s="4" t="n"/>
      <c r="Q97" s="2" t="n"/>
      <c r="S97" s="5">
        <f>IFERROR(IF(OR(N97="",R97="",J97=""),"",N97*R97*J97*2),"")</f>
        <v/>
      </c>
    </row>
    <row r="98">
      <c r="A98" t="n">
        <v>97</v>
      </c>
      <c r="G98" s="2" t="n"/>
      <c r="H98" s="2" t="n"/>
      <c r="I98" s="2" t="n"/>
      <c r="J98" s="3">
        <f>IFERROR(IF(OR(G98="",H98=""),"",ABS(G98-H98)),"")</f>
        <v/>
      </c>
      <c r="K98" s="2" t="n"/>
      <c r="L98" s="2" t="n"/>
      <c r="N98" s="4" t="n"/>
      <c r="O98" s="4" t="n"/>
      <c r="P98" s="4" t="n"/>
      <c r="Q98" s="2" t="n"/>
      <c r="S98" s="5">
        <f>IFERROR(IF(OR(N98="",R98="",J98=""),"",N98*R98*J98*2),"")</f>
        <v/>
      </c>
    </row>
    <row r="99">
      <c r="A99" t="n">
        <v>98</v>
      </c>
      <c r="G99" s="2" t="n"/>
      <c r="H99" s="2" t="n"/>
      <c r="I99" s="2" t="n"/>
      <c r="J99" s="3">
        <f>IFERROR(IF(OR(G99="",H99=""),"",ABS(G99-H99)),"")</f>
        <v/>
      </c>
      <c r="K99" s="2" t="n"/>
      <c r="L99" s="2" t="n"/>
      <c r="N99" s="4" t="n"/>
      <c r="O99" s="4" t="n"/>
      <c r="P99" s="4" t="n"/>
      <c r="Q99" s="2" t="n"/>
      <c r="S99" s="5">
        <f>IFERROR(IF(OR(N99="",R99="",J99=""),"",N99*R99*J99*2),"")</f>
        <v/>
      </c>
    </row>
    <row r="100">
      <c r="A100" t="n">
        <v>99</v>
      </c>
      <c r="G100" s="2" t="n"/>
      <c r="H100" s="2" t="n"/>
      <c r="I100" s="2" t="n"/>
      <c r="J100" s="3">
        <f>IFERROR(IF(OR(G100="",H100=""),"",ABS(G100-H100)),"")</f>
        <v/>
      </c>
      <c r="K100" s="2" t="n"/>
      <c r="L100" s="2" t="n"/>
      <c r="N100" s="4" t="n"/>
      <c r="O100" s="4" t="n"/>
      <c r="P100" s="4" t="n"/>
      <c r="Q100" s="2" t="n"/>
      <c r="S100" s="5">
        <f>IFERROR(IF(OR(N100="",R100="",J100=""),"",N100*R100*J100*2),"")</f>
        <v/>
      </c>
    </row>
    <row r="101">
      <c r="A101" t="n">
        <v>100</v>
      </c>
      <c r="G101" s="2" t="n"/>
      <c r="H101" s="2" t="n"/>
      <c r="I101" s="2" t="n"/>
      <c r="J101" s="3">
        <f>IFERROR(IF(OR(G101="",H101=""),"",ABS(G101-H101)),"")</f>
        <v/>
      </c>
      <c r="K101" s="2" t="n"/>
      <c r="L101" s="2" t="n"/>
      <c r="N101" s="4" t="n"/>
      <c r="O101" s="4" t="n"/>
      <c r="P101" s="4" t="n"/>
      <c r="Q101" s="2" t="n"/>
      <c r="S101" s="5">
        <f>IFERROR(IF(OR(N101="",R101="",J101=""),"",N101*R101*J101*2),"")</f>
        <v/>
      </c>
    </row>
    <row r="102">
      <c r="A102" t="n">
        <v>101</v>
      </c>
      <c r="G102" s="2" t="n"/>
      <c r="H102" s="2" t="n"/>
      <c r="I102" s="2" t="n"/>
      <c r="J102" s="3">
        <f>IFERROR(IF(OR(G102="",H102=""),"",ABS(G102-H102)),"")</f>
        <v/>
      </c>
      <c r="K102" s="2" t="n"/>
      <c r="L102" s="2" t="n"/>
      <c r="N102" s="4" t="n"/>
      <c r="O102" s="4" t="n"/>
      <c r="P102" s="4" t="n"/>
      <c r="Q102" s="2" t="n"/>
      <c r="S102" s="5">
        <f>IFERROR(IF(OR(N102="",R102="",J102=""),"",N102*R102*J102*2),"")</f>
        <v/>
      </c>
    </row>
    <row r="103">
      <c r="A103" t="n">
        <v>102</v>
      </c>
      <c r="G103" s="2" t="n"/>
      <c r="H103" s="2" t="n"/>
      <c r="I103" s="2" t="n"/>
      <c r="J103" s="3">
        <f>IFERROR(IF(OR(G103="",H103=""),"",ABS(G103-H103)),"")</f>
        <v/>
      </c>
      <c r="K103" s="2" t="n"/>
      <c r="L103" s="2" t="n"/>
      <c r="N103" s="4" t="n"/>
      <c r="O103" s="4" t="n"/>
      <c r="P103" s="4" t="n"/>
      <c r="Q103" s="2" t="n"/>
      <c r="S103" s="5">
        <f>IFERROR(IF(OR(N103="",R103="",J103=""),"",N103*R103*J103*2),"")</f>
        <v/>
      </c>
    </row>
    <row r="104">
      <c r="A104" t="n">
        <v>103</v>
      </c>
      <c r="G104" s="2" t="n"/>
      <c r="H104" s="2" t="n"/>
      <c r="I104" s="2" t="n"/>
      <c r="J104" s="3">
        <f>IFERROR(IF(OR(G104="",H104=""),"",ABS(G104-H104)),"")</f>
        <v/>
      </c>
      <c r="K104" s="2" t="n"/>
      <c r="L104" s="2" t="n"/>
      <c r="N104" s="4" t="n"/>
      <c r="O104" s="4" t="n"/>
      <c r="P104" s="4" t="n"/>
      <c r="Q104" s="2" t="n"/>
      <c r="S104" s="5">
        <f>IFERROR(IF(OR(N104="",R104="",J104=""),"",N104*R104*J104*2),"")</f>
        <v/>
      </c>
    </row>
    <row r="105">
      <c r="A105" t="n">
        <v>104</v>
      </c>
      <c r="G105" s="2" t="n"/>
      <c r="H105" s="2" t="n"/>
      <c r="I105" s="2" t="n"/>
      <c r="J105" s="3">
        <f>IFERROR(IF(OR(G105="",H105=""),"",ABS(G105-H105)),"")</f>
        <v/>
      </c>
      <c r="K105" s="2" t="n"/>
      <c r="L105" s="2" t="n"/>
      <c r="N105" s="4" t="n"/>
      <c r="O105" s="4" t="n"/>
      <c r="P105" s="4" t="n"/>
      <c r="Q105" s="2" t="n"/>
      <c r="S105" s="5">
        <f>IFERROR(IF(OR(N105="",R105="",J105=""),"",N105*R105*J105*2),"")</f>
        <v/>
      </c>
    </row>
    <row r="106">
      <c r="A106" t="n">
        <v>105</v>
      </c>
      <c r="G106" s="2" t="n"/>
      <c r="H106" s="2" t="n"/>
      <c r="I106" s="2" t="n"/>
      <c r="J106" s="3">
        <f>IFERROR(IF(OR(G106="",H106=""),"",ABS(G106-H106)),"")</f>
        <v/>
      </c>
      <c r="K106" s="2" t="n"/>
      <c r="L106" s="2" t="n"/>
      <c r="N106" s="4" t="n"/>
      <c r="O106" s="4" t="n"/>
      <c r="P106" s="4" t="n"/>
      <c r="Q106" s="2" t="n"/>
      <c r="S106" s="5">
        <f>IFERROR(IF(OR(N106="",R106="",J106=""),"",N106*R106*J106*2),"")</f>
        <v/>
      </c>
    </row>
    <row r="107">
      <c r="A107" t="n">
        <v>106</v>
      </c>
      <c r="G107" s="2" t="n"/>
      <c r="H107" s="2" t="n"/>
      <c r="I107" s="2" t="n"/>
      <c r="J107" s="3">
        <f>IFERROR(IF(OR(G107="",H107=""),"",ABS(G107-H107)),"")</f>
        <v/>
      </c>
      <c r="K107" s="2" t="n"/>
      <c r="L107" s="2" t="n"/>
      <c r="N107" s="4" t="n"/>
      <c r="O107" s="4" t="n"/>
      <c r="P107" s="4" t="n"/>
      <c r="Q107" s="2" t="n"/>
      <c r="S107" s="5">
        <f>IFERROR(IF(OR(N107="",R107="",J107=""),"",N107*R107*J107*2),"")</f>
        <v/>
      </c>
    </row>
    <row r="108">
      <c r="A108" t="n">
        <v>107</v>
      </c>
      <c r="G108" s="2" t="n"/>
      <c r="H108" s="2" t="n"/>
      <c r="I108" s="2" t="n"/>
      <c r="J108" s="3">
        <f>IFERROR(IF(OR(G108="",H108=""),"",ABS(G108-H108)),"")</f>
        <v/>
      </c>
      <c r="K108" s="2" t="n"/>
      <c r="L108" s="2" t="n"/>
      <c r="N108" s="4" t="n"/>
      <c r="O108" s="4" t="n"/>
      <c r="P108" s="4" t="n"/>
      <c r="Q108" s="2" t="n"/>
      <c r="S108" s="5">
        <f>IFERROR(IF(OR(N108="",R108="",J108=""),"",N108*R108*J108*2),"")</f>
        <v/>
      </c>
    </row>
    <row r="109">
      <c r="A109" t="n">
        <v>108</v>
      </c>
      <c r="G109" s="2" t="n"/>
      <c r="H109" s="2" t="n"/>
      <c r="I109" s="2" t="n"/>
      <c r="J109" s="3">
        <f>IFERROR(IF(OR(G109="",H109=""),"",ABS(G109-H109)),"")</f>
        <v/>
      </c>
      <c r="K109" s="2" t="n"/>
      <c r="L109" s="2" t="n"/>
      <c r="N109" s="4" t="n"/>
      <c r="O109" s="4" t="n"/>
      <c r="P109" s="4" t="n"/>
      <c r="Q109" s="2" t="n"/>
      <c r="S109" s="5">
        <f>IFERROR(IF(OR(N109="",R109="",J109=""),"",N109*R109*J109*2),"")</f>
        <v/>
      </c>
    </row>
    <row r="110">
      <c r="A110" t="n">
        <v>109</v>
      </c>
      <c r="G110" s="2" t="n"/>
      <c r="H110" s="2" t="n"/>
      <c r="I110" s="2" t="n"/>
      <c r="J110" s="3">
        <f>IFERROR(IF(OR(G110="",H110=""),"",ABS(G110-H110)),"")</f>
        <v/>
      </c>
      <c r="K110" s="2" t="n"/>
      <c r="L110" s="2" t="n"/>
      <c r="N110" s="4" t="n"/>
      <c r="O110" s="4" t="n"/>
      <c r="P110" s="4" t="n"/>
      <c r="Q110" s="2" t="n"/>
      <c r="S110" s="5">
        <f>IFERROR(IF(OR(N110="",R110="",J110=""),"",N110*R110*J110*2),"")</f>
        <v/>
      </c>
    </row>
    <row r="111">
      <c r="A111" t="n">
        <v>110</v>
      </c>
      <c r="G111" s="2" t="n"/>
      <c r="H111" s="2" t="n"/>
      <c r="I111" s="2" t="n"/>
      <c r="J111" s="3">
        <f>IFERROR(IF(OR(G111="",H111=""),"",ABS(G111-H111)),"")</f>
        <v/>
      </c>
      <c r="K111" s="2" t="n"/>
      <c r="L111" s="2" t="n"/>
      <c r="N111" s="4" t="n"/>
      <c r="O111" s="4" t="n"/>
      <c r="P111" s="4" t="n"/>
      <c r="Q111" s="2" t="n"/>
      <c r="S111" s="5">
        <f>IFERROR(IF(OR(N111="",R111="",J111=""),"",N111*R111*J111*2),"")</f>
        <v/>
      </c>
    </row>
    <row r="112">
      <c r="A112" t="n">
        <v>111</v>
      </c>
      <c r="G112" s="2" t="n"/>
      <c r="H112" s="2" t="n"/>
      <c r="I112" s="2" t="n"/>
      <c r="J112" s="3">
        <f>IFERROR(IF(OR(G112="",H112=""),"",ABS(G112-H112)),"")</f>
        <v/>
      </c>
      <c r="K112" s="2" t="n"/>
      <c r="L112" s="2" t="n"/>
      <c r="N112" s="4" t="n"/>
      <c r="O112" s="4" t="n"/>
      <c r="P112" s="4" t="n"/>
      <c r="Q112" s="2" t="n"/>
      <c r="S112" s="5">
        <f>IFERROR(IF(OR(N112="",R112="",J112=""),"",N112*R112*J112*2),"")</f>
        <v/>
      </c>
    </row>
    <row r="113">
      <c r="A113" t="n">
        <v>112</v>
      </c>
      <c r="G113" s="2" t="n"/>
      <c r="H113" s="2" t="n"/>
      <c r="I113" s="2" t="n"/>
      <c r="J113" s="3">
        <f>IFERROR(IF(OR(G113="",H113=""),"",ABS(G113-H113)),"")</f>
        <v/>
      </c>
      <c r="K113" s="2" t="n"/>
      <c r="L113" s="2" t="n"/>
      <c r="N113" s="4" t="n"/>
      <c r="O113" s="4" t="n"/>
      <c r="P113" s="4" t="n"/>
      <c r="Q113" s="2" t="n"/>
      <c r="S113" s="5">
        <f>IFERROR(IF(OR(N113="",R113="",J113=""),"",N113*R113*J113*2),"")</f>
        <v/>
      </c>
    </row>
    <row r="114">
      <c r="A114" t="n">
        <v>113</v>
      </c>
      <c r="G114" s="2" t="n"/>
      <c r="H114" s="2" t="n"/>
      <c r="I114" s="2" t="n"/>
      <c r="J114" s="3">
        <f>IFERROR(IF(OR(G114="",H114=""),"",ABS(G114-H114)),"")</f>
        <v/>
      </c>
      <c r="K114" s="2" t="n"/>
      <c r="L114" s="2" t="n"/>
      <c r="N114" s="4" t="n"/>
      <c r="O114" s="4" t="n"/>
      <c r="P114" s="4" t="n"/>
      <c r="Q114" s="2" t="n"/>
      <c r="S114" s="5">
        <f>IFERROR(IF(OR(N114="",R114="",J114=""),"",N114*R114*J114*2),"")</f>
        <v/>
      </c>
    </row>
    <row r="115">
      <c r="A115" t="n">
        <v>114</v>
      </c>
      <c r="G115" s="2" t="n"/>
      <c r="H115" s="2" t="n"/>
      <c r="I115" s="2" t="n"/>
      <c r="J115" s="3">
        <f>IFERROR(IF(OR(G115="",H115=""),"",ABS(G115-H115)),"")</f>
        <v/>
      </c>
      <c r="K115" s="2" t="n"/>
      <c r="L115" s="2" t="n"/>
      <c r="N115" s="4" t="n"/>
      <c r="O115" s="4" t="n"/>
      <c r="P115" s="4" t="n"/>
      <c r="Q115" s="2" t="n"/>
      <c r="S115" s="5">
        <f>IFERROR(IF(OR(N115="",R115="",J115=""),"",N115*R115*J115*2),"")</f>
        <v/>
      </c>
    </row>
    <row r="116">
      <c r="A116" t="n">
        <v>115</v>
      </c>
      <c r="G116" s="2" t="n"/>
      <c r="H116" s="2" t="n"/>
      <c r="I116" s="2" t="n"/>
      <c r="J116" s="3">
        <f>IFERROR(IF(OR(G116="",H116=""),"",ABS(G116-H116)),"")</f>
        <v/>
      </c>
      <c r="K116" s="2" t="n"/>
      <c r="L116" s="2" t="n"/>
      <c r="N116" s="4" t="n"/>
      <c r="O116" s="4" t="n"/>
      <c r="P116" s="4" t="n"/>
      <c r="Q116" s="2" t="n"/>
      <c r="S116" s="5">
        <f>IFERROR(IF(OR(N116="",R116="",J116=""),"",N116*R116*J116*2),"")</f>
        <v/>
      </c>
    </row>
    <row r="117">
      <c r="A117" t="n">
        <v>116</v>
      </c>
      <c r="G117" s="2" t="n"/>
      <c r="H117" s="2" t="n"/>
      <c r="I117" s="2" t="n"/>
      <c r="J117" s="3">
        <f>IFERROR(IF(OR(G117="",H117=""),"",ABS(G117-H117)),"")</f>
        <v/>
      </c>
      <c r="K117" s="2" t="n"/>
      <c r="L117" s="2" t="n"/>
      <c r="N117" s="4" t="n"/>
      <c r="O117" s="4" t="n"/>
      <c r="P117" s="4" t="n"/>
      <c r="Q117" s="2" t="n"/>
      <c r="S117" s="5">
        <f>IFERROR(IF(OR(N117="",R117="",J117=""),"",N117*R117*J117*2),"")</f>
        <v/>
      </c>
    </row>
    <row r="118">
      <c r="A118" t="n">
        <v>117</v>
      </c>
      <c r="G118" s="2" t="n"/>
      <c r="H118" s="2" t="n"/>
      <c r="I118" s="2" t="n"/>
      <c r="J118" s="3">
        <f>IFERROR(IF(OR(G118="",H118=""),"",ABS(G118-H118)),"")</f>
        <v/>
      </c>
      <c r="K118" s="2" t="n"/>
      <c r="L118" s="2" t="n"/>
      <c r="N118" s="4" t="n"/>
      <c r="O118" s="4" t="n"/>
      <c r="P118" s="4" t="n"/>
      <c r="Q118" s="2" t="n"/>
      <c r="S118" s="5">
        <f>IFERROR(IF(OR(N118="",R118="",J118=""),"",N118*R118*J118*2),"")</f>
        <v/>
      </c>
    </row>
    <row r="119">
      <c r="A119" t="n">
        <v>118</v>
      </c>
      <c r="G119" s="2" t="n"/>
      <c r="H119" s="2" t="n"/>
      <c r="I119" s="2" t="n"/>
      <c r="J119" s="3">
        <f>IFERROR(IF(OR(G119="",H119=""),"",ABS(G119-H119)),"")</f>
        <v/>
      </c>
      <c r="K119" s="2" t="n"/>
      <c r="L119" s="2" t="n"/>
      <c r="N119" s="4" t="n"/>
      <c r="O119" s="4" t="n"/>
      <c r="P119" s="4" t="n"/>
      <c r="Q119" s="2" t="n"/>
      <c r="S119" s="5">
        <f>IFERROR(IF(OR(N119="",R119="",J119=""),"",N119*R119*J119*2),"")</f>
        <v/>
      </c>
    </row>
    <row r="120">
      <c r="A120" t="n">
        <v>119</v>
      </c>
      <c r="G120" s="2" t="n"/>
      <c r="H120" s="2" t="n"/>
      <c r="I120" s="2" t="n"/>
      <c r="J120" s="3">
        <f>IFERROR(IF(OR(G120="",H120=""),"",ABS(G120-H120)),"")</f>
        <v/>
      </c>
      <c r="K120" s="2" t="n"/>
      <c r="L120" s="2" t="n"/>
      <c r="N120" s="4" t="n"/>
      <c r="O120" s="4" t="n"/>
      <c r="P120" s="4" t="n"/>
      <c r="Q120" s="2" t="n"/>
      <c r="S120" s="5">
        <f>IFERROR(IF(OR(N120="",R120="",J120=""),"",N120*R120*J120*2),"")</f>
        <v/>
      </c>
    </row>
    <row r="121">
      <c r="A121" t="n">
        <v>120</v>
      </c>
      <c r="G121" s="2" t="n"/>
      <c r="H121" s="2" t="n"/>
      <c r="I121" s="2" t="n"/>
      <c r="J121" s="3">
        <f>IFERROR(IF(OR(G121="",H121=""),"",ABS(G121-H121)),"")</f>
        <v/>
      </c>
      <c r="K121" s="2" t="n"/>
      <c r="L121" s="2" t="n"/>
      <c r="N121" s="4" t="n"/>
      <c r="O121" s="4" t="n"/>
      <c r="P121" s="4" t="n"/>
      <c r="Q121" s="2" t="n"/>
      <c r="S121" s="5">
        <f>IFERROR(IF(OR(N121="",R121="",J121=""),"",N121*R121*J121*2),"")</f>
        <v/>
      </c>
    </row>
    <row r="122">
      <c r="A122" t="n">
        <v>121</v>
      </c>
      <c r="G122" s="2" t="n"/>
      <c r="H122" s="2" t="n"/>
      <c r="I122" s="2" t="n"/>
      <c r="J122" s="3">
        <f>IFERROR(IF(OR(G122="",H122=""),"",ABS(G122-H122)),"")</f>
        <v/>
      </c>
      <c r="K122" s="2" t="n"/>
      <c r="L122" s="2" t="n"/>
      <c r="N122" s="4" t="n"/>
      <c r="O122" s="4" t="n"/>
      <c r="P122" s="4" t="n"/>
      <c r="Q122" s="2" t="n"/>
      <c r="S122" s="5">
        <f>IFERROR(IF(OR(N122="",R122="",J122=""),"",N122*R122*J122*2),"")</f>
        <v/>
      </c>
    </row>
    <row r="123">
      <c r="A123" t="n">
        <v>122</v>
      </c>
      <c r="G123" s="2" t="n"/>
      <c r="H123" s="2" t="n"/>
      <c r="I123" s="2" t="n"/>
      <c r="J123" s="3">
        <f>IFERROR(IF(OR(G123="",H123=""),"",ABS(G123-H123)),"")</f>
        <v/>
      </c>
      <c r="K123" s="2" t="n"/>
      <c r="L123" s="2" t="n"/>
      <c r="N123" s="4" t="n"/>
      <c r="O123" s="4" t="n"/>
      <c r="P123" s="4" t="n"/>
      <c r="Q123" s="2" t="n"/>
      <c r="S123" s="5">
        <f>IFERROR(IF(OR(N123="",R123="",J123=""),"",N123*R123*J123*2),"")</f>
        <v/>
      </c>
    </row>
    <row r="124">
      <c r="A124" t="n">
        <v>123</v>
      </c>
      <c r="G124" s="2" t="n"/>
      <c r="H124" s="2" t="n"/>
      <c r="I124" s="2" t="n"/>
      <c r="J124" s="3">
        <f>IFERROR(IF(OR(G124="",H124=""),"",ABS(G124-H124)),"")</f>
        <v/>
      </c>
      <c r="K124" s="2" t="n"/>
      <c r="L124" s="2" t="n"/>
      <c r="N124" s="4" t="n"/>
      <c r="O124" s="4" t="n"/>
      <c r="P124" s="4" t="n"/>
      <c r="Q124" s="2" t="n"/>
      <c r="S124" s="5">
        <f>IFERROR(IF(OR(N124="",R124="",J124=""),"",N124*R124*J124*2),"")</f>
        <v/>
      </c>
    </row>
    <row r="125">
      <c r="A125" t="n">
        <v>124</v>
      </c>
      <c r="G125" s="2" t="n"/>
      <c r="H125" s="2" t="n"/>
      <c r="I125" s="2" t="n"/>
      <c r="J125" s="3">
        <f>IFERROR(IF(OR(G125="",H125=""),"",ABS(G125-H125)),"")</f>
        <v/>
      </c>
      <c r="K125" s="2" t="n"/>
      <c r="L125" s="2" t="n"/>
      <c r="N125" s="4" t="n"/>
      <c r="O125" s="4" t="n"/>
      <c r="P125" s="4" t="n"/>
      <c r="Q125" s="2" t="n"/>
      <c r="S125" s="5">
        <f>IFERROR(IF(OR(N125="",R125="",J125=""),"",N125*R125*J125*2),"")</f>
        <v/>
      </c>
    </row>
    <row r="126">
      <c r="A126" t="n">
        <v>125</v>
      </c>
      <c r="G126" s="2" t="n"/>
      <c r="H126" s="2" t="n"/>
      <c r="I126" s="2" t="n"/>
      <c r="J126" s="3">
        <f>IFERROR(IF(OR(G126="",H126=""),"",ABS(G126-H126)),"")</f>
        <v/>
      </c>
      <c r="K126" s="2" t="n"/>
      <c r="L126" s="2" t="n"/>
      <c r="N126" s="4" t="n"/>
      <c r="O126" s="4" t="n"/>
      <c r="P126" s="4" t="n"/>
      <c r="Q126" s="2" t="n"/>
      <c r="S126" s="5">
        <f>IFERROR(IF(OR(N126="",R126="",J126=""),"",N126*R126*J126*2),"")</f>
        <v/>
      </c>
    </row>
    <row r="127">
      <c r="A127" t="n">
        <v>126</v>
      </c>
      <c r="G127" s="2" t="n"/>
      <c r="H127" s="2" t="n"/>
      <c r="I127" s="2" t="n"/>
      <c r="J127" s="3">
        <f>IFERROR(IF(OR(G127="",H127=""),"",ABS(G127-H127)),"")</f>
        <v/>
      </c>
      <c r="K127" s="2" t="n"/>
      <c r="L127" s="2" t="n"/>
      <c r="N127" s="4" t="n"/>
      <c r="O127" s="4" t="n"/>
      <c r="P127" s="4" t="n"/>
      <c r="Q127" s="2" t="n"/>
      <c r="S127" s="5">
        <f>IFERROR(IF(OR(N127="",R127="",J127=""),"",N127*R127*J127*2),"")</f>
        <v/>
      </c>
    </row>
    <row r="128">
      <c r="A128" t="n">
        <v>127</v>
      </c>
      <c r="G128" s="2" t="n"/>
      <c r="H128" s="2" t="n"/>
      <c r="I128" s="2" t="n"/>
      <c r="J128" s="3">
        <f>IFERROR(IF(OR(G128="",H128=""),"",ABS(G128-H128)),"")</f>
        <v/>
      </c>
      <c r="K128" s="2" t="n"/>
      <c r="L128" s="2" t="n"/>
      <c r="N128" s="4" t="n"/>
      <c r="O128" s="4" t="n"/>
      <c r="P128" s="4" t="n"/>
      <c r="Q128" s="2" t="n"/>
      <c r="S128" s="5">
        <f>IFERROR(IF(OR(N128="",R128="",J128=""),"",N128*R128*J128*2),"")</f>
        <v/>
      </c>
    </row>
    <row r="129">
      <c r="A129" t="n">
        <v>128</v>
      </c>
      <c r="G129" s="2" t="n"/>
      <c r="H129" s="2" t="n"/>
      <c r="I129" s="2" t="n"/>
      <c r="J129" s="3">
        <f>IFERROR(IF(OR(G129="",H129=""),"",ABS(G129-H129)),"")</f>
        <v/>
      </c>
      <c r="K129" s="2" t="n"/>
      <c r="L129" s="2" t="n"/>
      <c r="N129" s="4" t="n"/>
      <c r="O129" s="4" t="n"/>
      <c r="P129" s="4" t="n"/>
      <c r="Q129" s="2" t="n"/>
      <c r="S129" s="5">
        <f>IFERROR(IF(OR(N129="",R129="",J129=""),"",N129*R129*J129*2),"")</f>
        <v/>
      </c>
    </row>
    <row r="130">
      <c r="A130" t="n">
        <v>129</v>
      </c>
      <c r="G130" s="2" t="n"/>
      <c r="H130" s="2" t="n"/>
      <c r="I130" s="2" t="n"/>
      <c r="J130" s="3">
        <f>IFERROR(IF(OR(G130="",H130=""),"",ABS(G130-H130)),"")</f>
        <v/>
      </c>
      <c r="K130" s="2" t="n"/>
      <c r="L130" s="2" t="n"/>
      <c r="N130" s="4" t="n"/>
      <c r="O130" s="4" t="n"/>
      <c r="P130" s="4" t="n"/>
      <c r="Q130" s="2" t="n"/>
      <c r="S130" s="5">
        <f>IFERROR(IF(OR(N130="",R130="",J130=""),"",N130*R130*J130*2),"")</f>
        <v/>
      </c>
    </row>
    <row r="131">
      <c r="A131" t="n">
        <v>130</v>
      </c>
      <c r="G131" s="2" t="n"/>
      <c r="H131" s="2" t="n"/>
      <c r="I131" s="2" t="n"/>
      <c r="J131" s="3">
        <f>IFERROR(IF(OR(G131="",H131=""),"",ABS(G131-H131)),"")</f>
        <v/>
      </c>
      <c r="K131" s="2" t="n"/>
      <c r="L131" s="2" t="n"/>
      <c r="N131" s="4" t="n"/>
      <c r="O131" s="4" t="n"/>
      <c r="P131" s="4" t="n"/>
      <c r="Q131" s="2" t="n"/>
      <c r="S131" s="5">
        <f>IFERROR(IF(OR(N131="",R131="",J131=""),"",N131*R131*J131*2),"")</f>
        <v/>
      </c>
    </row>
    <row r="132">
      <c r="A132" t="n">
        <v>131</v>
      </c>
      <c r="G132" s="2" t="n"/>
      <c r="H132" s="2" t="n"/>
      <c r="I132" s="2" t="n"/>
      <c r="J132" s="3">
        <f>IFERROR(IF(OR(G132="",H132=""),"",ABS(G132-H132)),"")</f>
        <v/>
      </c>
      <c r="K132" s="2" t="n"/>
      <c r="L132" s="2" t="n"/>
      <c r="N132" s="4" t="n"/>
      <c r="O132" s="4" t="n"/>
      <c r="P132" s="4" t="n"/>
      <c r="Q132" s="2" t="n"/>
      <c r="S132" s="5">
        <f>IFERROR(IF(OR(N132="",R132="",J132=""),"",N132*R132*J132*2),"")</f>
        <v/>
      </c>
    </row>
    <row r="133">
      <c r="A133" t="n">
        <v>132</v>
      </c>
      <c r="G133" s="2" t="n"/>
      <c r="H133" s="2" t="n"/>
      <c r="I133" s="2" t="n"/>
      <c r="J133" s="3">
        <f>IFERROR(IF(OR(G133="",H133=""),"",ABS(G133-H133)),"")</f>
        <v/>
      </c>
      <c r="K133" s="2" t="n"/>
      <c r="L133" s="2" t="n"/>
      <c r="N133" s="4" t="n"/>
      <c r="O133" s="4" t="n"/>
      <c r="P133" s="4" t="n"/>
      <c r="Q133" s="2" t="n"/>
      <c r="S133" s="5">
        <f>IFERROR(IF(OR(N133="",R133="",J133=""),"",N133*R133*J133*2),"")</f>
        <v/>
      </c>
    </row>
    <row r="134">
      <c r="A134" t="n">
        <v>133</v>
      </c>
      <c r="G134" s="2" t="n"/>
      <c r="H134" s="2" t="n"/>
      <c r="I134" s="2" t="n"/>
      <c r="J134" s="3">
        <f>IFERROR(IF(OR(G134="",H134=""),"",ABS(G134-H134)),"")</f>
        <v/>
      </c>
      <c r="K134" s="2" t="n"/>
      <c r="L134" s="2" t="n"/>
      <c r="N134" s="4" t="n"/>
      <c r="O134" s="4" t="n"/>
      <c r="P134" s="4" t="n"/>
      <c r="Q134" s="2" t="n"/>
      <c r="S134" s="5">
        <f>IFERROR(IF(OR(N134="",R134="",J134=""),"",N134*R134*J134*2),"")</f>
        <v/>
      </c>
    </row>
    <row r="135">
      <c r="A135" t="n">
        <v>134</v>
      </c>
      <c r="G135" s="2" t="n"/>
      <c r="H135" s="2" t="n"/>
      <c r="I135" s="2" t="n"/>
      <c r="J135" s="3">
        <f>IFERROR(IF(OR(G135="",H135=""),"",ABS(G135-H135)),"")</f>
        <v/>
      </c>
      <c r="K135" s="2" t="n"/>
      <c r="L135" s="2" t="n"/>
      <c r="N135" s="4" t="n"/>
      <c r="O135" s="4" t="n"/>
      <c r="P135" s="4" t="n"/>
      <c r="Q135" s="2" t="n"/>
      <c r="S135" s="5">
        <f>IFERROR(IF(OR(N135="",R135="",J135=""),"",N135*R135*J135*2),"")</f>
        <v/>
      </c>
    </row>
    <row r="136">
      <c r="A136" t="n">
        <v>135</v>
      </c>
      <c r="G136" s="2" t="n"/>
      <c r="H136" s="2" t="n"/>
      <c r="I136" s="2" t="n"/>
      <c r="J136" s="3">
        <f>IFERROR(IF(OR(G136="",H136=""),"",ABS(G136-H136)),"")</f>
        <v/>
      </c>
      <c r="K136" s="2" t="n"/>
      <c r="L136" s="2" t="n"/>
      <c r="N136" s="4" t="n"/>
      <c r="O136" s="4" t="n"/>
      <c r="P136" s="4" t="n"/>
      <c r="Q136" s="2" t="n"/>
      <c r="S136" s="5">
        <f>IFERROR(IF(OR(N136="",R136="",J136=""),"",N136*R136*J136*2),"")</f>
        <v/>
      </c>
    </row>
    <row r="137">
      <c r="A137" t="n">
        <v>136</v>
      </c>
      <c r="G137" s="2" t="n"/>
      <c r="H137" s="2" t="n"/>
      <c r="I137" s="2" t="n"/>
      <c r="J137" s="3">
        <f>IFERROR(IF(OR(G137="",H137=""),"",ABS(G137-H137)),"")</f>
        <v/>
      </c>
      <c r="K137" s="2" t="n"/>
      <c r="L137" s="2" t="n"/>
      <c r="N137" s="4" t="n"/>
      <c r="O137" s="4" t="n"/>
      <c r="P137" s="4" t="n"/>
      <c r="Q137" s="2" t="n"/>
      <c r="S137" s="5">
        <f>IFERROR(IF(OR(N137="",R137="",J137=""),"",N137*R137*J137*2),"")</f>
        <v/>
      </c>
    </row>
    <row r="138">
      <c r="A138" t="n">
        <v>137</v>
      </c>
      <c r="G138" s="2" t="n"/>
      <c r="H138" s="2" t="n"/>
      <c r="I138" s="2" t="n"/>
      <c r="J138" s="3">
        <f>IFERROR(IF(OR(G138="",H138=""),"",ABS(G138-H138)),"")</f>
        <v/>
      </c>
      <c r="K138" s="2" t="n"/>
      <c r="L138" s="2" t="n"/>
      <c r="N138" s="4" t="n"/>
      <c r="O138" s="4" t="n"/>
      <c r="P138" s="4" t="n"/>
      <c r="Q138" s="2" t="n"/>
      <c r="S138" s="5">
        <f>IFERROR(IF(OR(N138="",R138="",J138=""),"",N138*R138*J138*2),"")</f>
        <v/>
      </c>
    </row>
    <row r="139">
      <c r="A139" t="n">
        <v>138</v>
      </c>
      <c r="G139" s="2" t="n"/>
      <c r="H139" s="2" t="n"/>
      <c r="I139" s="2" t="n"/>
      <c r="J139" s="3">
        <f>IFERROR(IF(OR(G139="",H139=""),"",ABS(G139-H139)),"")</f>
        <v/>
      </c>
      <c r="K139" s="2" t="n"/>
      <c r="L139" s="2" t="n"/>
      <c r="N139" s="4" t="n"/>
      <c r="O139" s="4" t="n"/>
      <c r="P139" s="4" t="n"/>
      <c r="Q139" s="2" t="n"/>
      <c r="S139" s="5">
        <f>IFERROR(IF(OR(N139="",R139="",J139=""),"",N139*R139*J139*2),"")</f>
        <v/>
      </c>
    </row>
    <row r="140">
      <c r="A140" t="n">
        <v>139</v>
      </c>
      <c r="G140" s="2" t="n"/>
      <c r="H140" s="2" t="n"/>
      <c r="I140" s="2" t="n"/>
      <c r="J140" s="3">
        <f>IFERROR(IF(OR(G140="",H140=""),"",ABS(G140-H140)),"")</f>
        <v/>
      </c>
      <c r="K140" s="2" t="n"/>
      <c r="L140" s="2" t="n"/>
      <c r="N140" s="4" t="n"/>
      <c r="O140" s="4" t="n"/>
      <c r="P140" s="4" t="n"/>
      <c r="Q140" s="2" t="n"/>
      <c r="S140" s="5">
        <f>IFERROR(IF(OR(N140="",R140="",J140=""),"",N140*R140*J140*2),"")</f>
        <v/>
      </c>
    </row>
    <row r="141">
      <c r="A141" t="n">
        <v>140</v>
      </c>
      <c r="G141" s="2" t="n"/>
      <c r="H141" s="2" t="n"/>
      <c r="I141" s="2" t="n"/>
      <c r="J141" s="3">
        <f>IFERROR(IF(OR(G141="",H141=""),"",ABS(G141-H141)),"")</f>
        <v/>
      </c>
      <c r="K141" s="2" t="n"/>
      <c r="L141" s="2" t="n"/>
      <c r="N141" s="4" t="n"/>
      <c r="O141" s="4" t="n"/>
      <c r="P141" s="4" t="n"/>
      <c r="Q141" s="2" t="n"/>
      <c r="S141" s="5">
        <f>IFERROR(IF(OR(N141="",R141="",J141=""),"",N141*R141*J141*2),"")</f>
        <v/>
      </c>
    </row>
    <row r="142">
      <c r="A142" t="n">
        <v>141</v>
      </c>
      <c r="G142" s="2" t="n"/>
      <c r="H142" s="2" t="n"/>
      <c r="I142" s="2" t="n"/>
      <c r="J142" s="3">
        <f>IFERROR(IF(OR(G142="",H142=""),"",ABS(G142-H142)),"")</f>
        <v/>
      </c>
      <c r="K142" s="2" t="n"/>
      <c r="L142" s="2" t="n"/>
      <c r="N142" s="4" t="n"/>
      <c r="O142" s="4" t="n"/>
      <c r="P142" s="4" t="n"/>
      <c r="Q142" s="2" t="n"/>
      <c r="S142" s="5">
        <f>IFERROR(IF(OR(N142="",R142="",J142=""),"",N142*R142*J142*2),"")</f>
        <v/>
      </c>
    </row>
    <row r="143">
      <c r="A143" t="n">
        <v>142</v>
      </c>
      <c r="G143" s="2" t="n"/>
      <c r="H143" s="2" t="n"/>
      <c r="I143" s="2" t="n"/>
      <c r="J143" s="3">
        <f>IFERROR(IF(OR(G143="",H143=""),"",ABS(G143-H143)),"")</f>
        <v/>
      </c>
      <c r="K143" s="2" t="n"/>
      <c r="L143" s="2" t="n"/>
      <c r="N143" s="4" t="n"/>
      <c r="O143" s="4" t="n"/>
      <c r="P143" s="4" t="n"/>
      <c r="Q143" s="2" t="n"/>
      <c r="S143" s="5">
        <f>IFERROR(IF(OR(N143="",R143="",J143=""),"",N143*R143*J143*2),"")</f>
        <v/>
      </c>
    </row>
    <row r="144">
      <c r="A144" t="n">
        <v>143</v>
      </c>
      <c r="G144" s="2" t="n"/>
      <c r="H144" s="2" t="n"/>
      <c r="I144" s="2" t="n"/>
      <c r="J144" s="3">
        <f>IFERROR(IF(OR(G144="",H144=""),"",ABS(G144-H144)),"")</f>
        <v/>
      </c>
      <c r="K144" s="2" t="n"/>
      <c r="L144" s="2" t="n"/>
      <c r="N144" s="4" t="n"/>
      <c r="O144" s="4" t="n"/>
      <c r="P144" s="4" t="n"/>
      <c r="Q144" s="2" t="n"/>
      <c r="S144" s="5">
        <f>IFERROR(IF(OR(N144="",R144="",J144=""),"",N144*R144*J144*2),"")</f>
        <v/>
      </c>
    </row>
    <row r="145">
      <c r="A145" t="n">
        <v>144</v>
      </c>
      <c r="G145" s="2" t="n"/>
      <c r="H145" s="2" t="n"/>
      <c r="I145" s="2" t="n"/>
      <c r="J145" s="3">
        <f>IFERROR(IF(OR(G145="",H145=""),"",ABS(G145-H145)),"")</f>
        <v/>
      </c>
      <c r="K145" s="2" t="n"/>
      <c r="L145" s="2" t="n"/>
      <c r="N145" s="4" t="n"/>
      <c r="O145" s="4" t="n"/>
      <c r="P145" s="4" t="n"/>
      <c r="Q145" s="2" t="n"/>
      <c r="S145" s="5">
        <f>IFERROR(IF(OR(N145="",R145="",J145=""),"",N145*R145*J145*2),"")</f>
        <v/>
      </c>
    </row>
    <row r="146">
      <c r="A146" t="n">
        <v>145</v>
      </c>
      <c r="G146" s="2" t="n"/>
      <c r="H146" s="2" t="n"/>
      <c r="I146" s="2" t="n"/>
      <c r="J146" s="3">
        <f>IFERROR(IF(OR(G146="",H146=""),"",ABS(G146-H146)),"")</f>
        <v/>
      </c>
      <c r="K146" s="2" t="n"/>
      <c r="L146" s="2" t="n"/>
      <c r="N146" s="4" t="n"/>
      <c r="O146" s="4" t="n"/>
      <c r="P146" s="4" t="n"/>
      <c r="Q146" s="2" t="n"/>
      <c r="S146" s="5">
        <f>IFERROR(IF(OR(N146="",R146="",J146=""),"",N146*R146*J146*2),"")</f>
        <v/>
      </c>
    </row>
    <row r="147">
      <c r="A147" t="n">
        <v>146</v>
      </c>
      <c r="G147" s="2" t="n"/>
      <c r="H147" s="2" t="n"/>
      <c r="I147" s="2" t="n"/>
      <c r="J147" s="3">
        <f>IFERROR(IF(OR(G147="",H147=""),"",ABS(G147-H147)),"")</f>
        <v/>
      </c>
      <c r="K147" s="2" t="n"/>
      <c r="L147" s="2" t="n"/>
      <c r="N147" s="4" t="n"/>
      <c r="O147" s="4" t="n"/>
      <c r="P147" s="4" t="n"/>
      <c r="Q147" s="2" t="n"/>
      <c r="S147" s="5">
        <f>IFERROR(IF(OR(N147="",R147="",J147=""),"",N147*R147*J147*2),"")</f>
        <v/>
      </c>
    </row>
    <row r="148">
      <c r="A148" t="n">
        <v>147</v>
      </c>
      <c r="G148" s="2" t="n"/>
      <c r="H148" s="2" t="n"/>
      <c r="I148" s="2" t="n"/>
      <c r="J148" s="3">
        <f>IFERROR(IF(OR(G148="",H148=""),"",ABS(G148-H148)),"")</f>
        <v/>
      </c>
      <c r="K148" s="2" t="n"/>
      <c r="L148" s="2" t="n"/>
      <c r="N148" s="4" t="n"/>
      <c r="O148" s="4" t="n"/>
      <c r="P148" s="4" t="n"/>
      <c r="Q148" s="2" t="n"/>
      <c r="S148" s="5">
        <f>IFERROR(IF(OR(N148="",R148="",J148=""),"",N148*R148*J148*2),"")</f>
        <v/>
      </c>
    </row>
    <row r="149">
      <c r="A149" t="n">
        <v>148</v>
      </c>
      <c r="G149" s="2" t="n"/>
      <c r="H149" s="2" t="n"/>
      <c r="I149" s="2" t="n"/>
      <c r="J149" s="3">
        <f>IFERROR(IF(OR(G149="",H149=""),"",ABS(G149-H149)),"")</f>
        <v/>
      </c>
      <c r="K149" s="2" t="n"/>
      <c r="L149" s="2" t="n"/>
      <c r="N149" s="4" t="n"/>
      <c r="O149" s="4" t="n"/>
      <c r="P149" s="4" t="n"/>
      <c r="Q149" s="2" t="n"/>
      <c r="S149" s="5">
        <f>IFERROR(IF(OR(N149="",R149="",J149=""),"",N149*R149*J149*2),"")</f>
        <v/>
      </c>
    </row>
    <row r="150">
      <c r="A150" t="n">
        <v>149</v>
      </c>
      <c r="G150" s="2" t="n"/>
      <c r="H150" s="2" t="n"/>
      <c r="I150" s="2" t="n"/>
      <c r="J150" s="3">
        <f>IFERROR(IF(OR(G150="",H150=""),"",ABS(G150-H150)),"")</f>
        <v/>
      </c>
      <c r="K150" s="2" t="n"/>
      <c r="L150" s="2" t="n"/>
      <c r="N150" s="4" t="n"/>
      <c r="O150" s="4" t="n"/>
      <c r="P150" s="4" t="n"/>
      <c r="Q150" s="2" t="n"/>
      <c r="S150" s="5">
        <f>IFERROR(IF(OR(N150="",R150="",J150=""),"",N150*R150*J150*2),"")</f>
        <v/>
      </c>
    </row>
    <row r="151">
      <c r="A151" t="n">
        <v>150</v>
      </c>
      <c r="G151" s="2" t="n"/>
      <c r="H151" s="2" t="n"/>
      <c r="I151" s="2" t="n"/>
      <c r="J151" s="3">
        <f>IFERROR(IF(OR(G151="",H151=""),"",ABS(G151-H151)),"")</f>
        <v/>
      </c>
      <c r="K151" s="2" t="n"/>
      <c r="L151" s="2" t="n"/>
      <c r="N151" s="4" t="n"/>
      <c r="O151" s="4" t="n"/>
      <c r="P151" s="4" t="n"/>
      <c r="Q151" s="2" t="n"/>
      <c r="S151" s="5">
        <f>IFERROR(IF(OR(N151="",R151="",J151=""),"",N151*R151*J151*2),"")</f>
        <v/>
      </c>
    </row>
    <row r="152">
      <c r="A152" t="n">
        <v>151</v>
      </c>
      <c r="G152" s="2" t="n"/>
      <c r="H152" s="2" t="n"/>
      <c r="I152" s="2" t="n"/>
      <c r="J152" s="3">
        <f>IFERROR(IF(OR(G152="",H152=""),"",ABS(G152-H152)),"")</f>
        <v/>
      </c>
      <c r="K152" s="2" t="n"/>
      <c r="L152" s="2" t="n"/>
      <c r="N152" s="4" t="n"/>
      <c r="O152" s="4" t="n"/>
      <c r="P152" s="4" t="n"/>
      <c r="Q152" s="2" t="n"/>
      <c r="S152" s="5">
        <f>IFERROR(IF(OR(N152="",R152="",J152=""),"",N152*R152*J152*2),"")</f>
        <v/>
      </c>
    </row>
    <row r="153">
      <c r="A153" t="n">
        <v>152</v>
      </c>
      <c r="G153" s="2" t="n"/>
      <c r="H153" s="2" t="n"/>
      <c r="I153" s="2" t="n"/>
      <c r="J153" s="3">
        <f>IFERROR(IF(OR(G153="",H153=""),"",ABS(G153-H153)),"")</f>
        <v/>
      </c>
      <c r="K153" s="2" t="n"/>
      <c r="L153" s="2" t="n"/>
      <c r="N153" s="4" t="n"/>
      <c r="O153" s="4" t="n"/>
      <c r="P153" s="4" t="n"/>
      <c r="Q153" s="2" t="n"/>
      <c r="S153" s="5">
        <f>IFERROR(IF(OR(N153="",R153="",J153=""),"",N153*R153*J153*2),"")</f>
        <v/>
      </c>
    </row>
    <row r="154">
      <c r="A154" t="n">
        <v>153</v>
      </c>
      <c r="G154" s="2" t="n"/>
      <c r="H154" s="2" t="n"/>
      <c r="I154" s="2" t="n"/>
      <c r="J154" s="3">
        <f>IFERROR(IF(OR(G154="",H154=""),"",ABS(G154-H154)),"")</f>
        <v/>
      </c>
      <c r="K154" s="2" t="n"/>
      <c r="L154" s="2" t="n"/>
      <c r="N154" s="4" t="n"/>
      <c r="O154" s="4" t="n"/>
      <c r="P154" s="4" t="n"/>
      <c r="Q154" s="2" t="n"/>
      <c r="S154" s="5">
        <f>IFERROR(IF(OR(N154="",R154="",J154=""),"",N154*R154*J154*2),"")</f>
        <v/>
      </c>
    </row>
    <row r="155">
      <c r="A155" t="n">
        <v>154</v>
      </c>
      <c r="G155" s="2" t="n"/>
      <c r="H155" s="2" t="n"/>
      <c r="I155" s="2" t="n"/>
      <c r="J155" s="3">
        <f>IFERROR(IF(OR(G155="",H155=""),"",ABS(G155-H155)),"")</f>
        <v/>
      </c>
      <c r="K155" s="2" t="n"/>
      <c r="L155" s="2" t="n"/>
      <c r="N155" s="4" t="n"/>
      <c r="O155" s="4" t="n"/>
      <c r="P155" s="4" t="n"/>
      <c r="Q155" s="2" t="n"/>
      <c r="S155" s="5">
        <f>IFERROR(IF(OR(N155="",R155="",J155=""),"",N155*R155*J155*2),"")</f>
        <v/>
      </c>
    </row>
    <row r="156">
      <c r="A156" t="n">
        <v>155</v>
      </c>
      <c r="G156" s="2" t="n"/>
      <c r="H156" s="2" t="n"/>
      <c r="I156" s="2" t="n"/>
      <c r="J156" s="3">
        <f>IFERROR(IF(OR(G156="",H156=""),"",ABS(G156-H156)),"")</f>
        <v/>
      </c>
      <c r="K156" s="2" t="n"/>
      <c r="L156" s="2" t="n"/>
      <c r="N156" s="4" t="n"/>
      <c r="O156" s="4" t="n"/>
      <c r="P156" s="4" t="n"/>
      <c r="Q156" s="2" t="n"/>
      <c r="S156" s="5">
        <f>IFERROR(IF(OR(N156="",R156="",J156=""),"",N156*R156*J156*2),"")</f>
        <v/>
      </c>
    </row>
    <row r="157">
      <c r="A157" t="n">
        <v>156</v>
      </c>
      <c r="G157" s="2" t="n"/>
      <c r="H157" s="2" t="n"/>
      <c r="I157" s="2" t="n"/>
      <c r="J157" s="3">
        <f>IFERROR(IF(OR(G157="",H157=""),"",ABS(G157-H157)),"")</f>
        <v/>
      </c>
      <c r="K157" s="2" t="n"/>
      <c r="L157" s="2" t="n"/>
      <c r="N157" s="4" t="n"/>
      <c r="O157" s="4" t="n"/>
      <c r="P157" s="4" t="n"/>
      <c r="Q157" s="2" t="n"/>
      <c r="S157" s="5">
        <f>IFERROR(IF(OR(N157="",R157="",J157=""),"",N157*R157*J157*2),"")</f>
        <v/>
      </c>
    </row>
    <row r="158">
      <c r="A158" t="n">
        <v>157</v>
      </c>
      <c r="G158" s="2" t="n"/>
      <c r="H158" s="2" t="n"/>
      <c r="I158" s="2" t="n"/>
      <c r="J158" s="3">
        <f>IFERROR(IF(OR(G158="",H158=""),"",ABS(G158-H158)),"")</f>
        <v/>
      </c>
      <c r="K158" s="2" t="n"/>
      <c r="L158" s="2" t="n"/>
      <c r="N158" s="4" t="n"/>
      <c r="O158" s="4" t="n"/>
      <c r="P158" s="4" t="n"/>
      <c r="Q158" s="2" t="n"/>
      <c r="S158" s="5">
        <f>IFERROR(IF(OR(N158="",R158="",J158=""),"",N158*R158*J158*2),"")</f>
        <v/>
      </c>
    </row>
    <row r="159">
      <c r="A159" t="n">
        <v>158</v>
      </c>
      <c r="G159" s="2" t="n"/>
      <c r="H159" s="2" t="n"/>
      <c r="I159" s="2" t="n"/>
      <c r="J159" s="3">
        <f>IFERROR(IF(OR(G159="",H159=""),"",ABS(G159-H159)),"")</f>
        <v/>
      </c>
      <c r="K159" s="2" t="n"/>
      <c r="L159" s="2" t="n"/>
      <c r="N159" s="4" t="n"/>
      <c r="O159" s="4" t="n"/>
      <c r="P159" s="4" t="n"/>
      <c r="Q159" s="2" t="n"/>
      <c r="S159" s="5">
        <f>IFERROR(IF(OR(N159="",R159="",J159=""),"",N159*R159*J159*2),"")</f>
        <v/>
      </c>
    </row>
    <row r="160">
      <c r="A160" t="n">
        <v>159</v>
      </c>
      <c r="G160" s="2" t="n"/>
      <c r="H160" s="2" t="n"/>
      <c r="I160" s="2" t="n"/>
      <c r="J160" s="3">
        <f>IFERROR(IF(OR(G160="",H160=""),"",ABS(G160-H160)),"")</f>
        <v/>
      </c>
      <c r="K160" s="2" t="n"/>
      <c r="L160" s="2" t="n"/>
      <c r="N160" s="4" t="n"/>
      <c r="O160" s="4" t="n"/>
      <c r="P160" s="4" t="n"/>
      <c r="Q160" s="2" t="n"/>
      <c r="S160" s="5">
        <f>IFERROR(IF(OR(N160="",R160="",J160=""),"",N160*R160*J160*2),"")</f>
        <v/>
      </c>
    </row>
    <row r="161">
      <c r="A161" t="n">
        <v>160</v>
      </c>
      <c r="G161" s="2" t="n"/>
      <c r="H161" s="2" t="n"/>
      <c r="I161" s="2" t="n"/>
      <c r="J161" s="3">
        <f>IFERROR(IF(OR(G161="",H161=""),"",ABS(G161-H161)),"")</f>
        <v/>
      </c>
      <c r="K161" s="2" t="n"/>
      <c r="L161" s="2" t="n"/>
      <c r="N161" s="4" t="n"/>
      <c r="O161" s="4" t="n"/>
      <c r="P161" s="4" t="n"/>
      <c r="Q161" s="2" t="n"/>
      <c r="S161" s="5">
        <f>IFERROR(IF(OR(N161="",R161="",J161=""),"",N161*R161*J161*2),"")</f>
        <v/>
      </c>
    </row>
    <row r="162">
      <c r="A162" t="n">
        <v>161</v>
      </c>
      <c r="G162" s="2" t="n"/>
      <c r="H162" s="2" t="n"/>
      <c r="I162" s="2" t="n"/>
      <c r="J162" s="3">
        <f>IFERROR(IF(OR(G162="",H162=""),"",ABS(G162-H162)),"")</f>
        <v/>
      </c>
      <c r="K162" s="2" t="n"/>
      <c r="L162" s="2" t="n"/>
      <c r="N162" s="4" t="n"/>
      <c r="O162" s="4" t="n"/>
      <c r="P162" s="4" t="n"/>
      <c r="Q162" s="2" t="n"/>
      <c r="S162" s="5">
        <f>IFERROR(IF(OR(N162="",R162="",J162=""),"",N162*R162*J162*2),"")</f>
        <v/>
      </c>
    </row>
    <row r="163">
      <c r="A163" t="n">
        <v>162</v>
      </c>
      <c r="G163" s="2" t="n"/>
      <c r="H163" s="2" t="n"/>
      <c r="I163" s="2" t="n"/>
      <c r="J163" s="3">
        <f>IFERROR(IF(OR(G163="",H163=""),"",ABS(G163-H163)),"")</f>
        <v/>
      </c>
      <c r="K163" s="2" t="n"/>
      <c r="L163" s="2" t="n"/>
      <c r="N163" s="4" t="n"/>
      <c r="O163" s="4" t="n"/>
      <c r="P163" s="4" t="n"/>
      <c r="Q163" s="2" t="n"/>
      <c r="S163" s="5">
        <f>IFERROR(IF(OR(N163="",R163="",J163=""),"",N163*R163*J163*2),"")</f>
        <v/>
      </c>
    </row>
    <row r="164">
      <c r="A164" t="n">
        <v>163</v>
      </c>
      <c r="G164" s="2" t="n"/>
      <c r="H164" s="2" t="n"/>
      <c r="I164" s="2" t="n"/>
      <c r="J164" s="3">
        <f>IFERROR(IF(OR(G164="",H164=""),"",ABS(G164-H164)),"")</f>
        <v/>
      </c>
      <c r="K164" s="2" t="n"/>
      <c r="L164" s="2" t="n"/>
      <c r="N164" s="4" t="n"/>
      <c r="O164" s="4" t="n"/>
      <c r="P164" s="4" t="n"/>
      <c r="Q164" s="2" t="n"/>
      <c r="S164" s="5">
        <f>IFERROR(IF(OR(N164="",R164="",J164=""),"",N164*R164*J164*2),"")</f>
        <v/>
      </c>
    </row>
    <row r="165">
      <c r="A165" t="n">
        <v>164</v>
      </c>
      <c r="G165" s="2" t="n"/>
      <c r="H165" s="2" t="n"/>
      <c r="I165" s="2" t="n"/>
      <c r="J165" s="3">
        <f>IFERROR(IF(OR(G165="",H165=""),"",ABS(G165-H165)),"")</f>
        <v/>
      </c>
      <c r="K165" s="2" t="n"/>
      <c r="L165" s="2" t="n"/>
      <c r="N165" s="4" t="n"/>
      <c r="O165" s="4" t="n"/>
      <c r="P165" s="4" t="n"/>
      <c r="Q165" s="2" t="n"/>
      <c r="S165" s="5">
        <f>IFERROR(IF(OR(N165="",R165="",J165=""),"",N165*R165*J165*2),"")</f>
        <v/>
      </c>
    </row>
    <row r="166">
      <c r="A166" t="n">
        <v>165</v>
      </c>
      <c r="G166" s="2" t="n"/>
      <c r="H166" s="2" t="n"/>
      <c r="I166" s="2" t="n"/>
      <c r="J166" s="3">
        <f>IFERROR(IF(OR(G166="",H166=""),"",ABS(G166-H166)),"")</f>
        <v/>
      </c>
      <c r="K166" s="2" t="n"/>
      <c r="L166" s="2" t="n"/>
      <c r="N166" s="4" t="n"/>
      <c r="O166" s="4" t="n"/>
      <c r="P166" s="4" t="n"/>
      <c r="Q166" s="2" t="n"/>
      <c r="S166" s="5">
        <f>IFERROR(IF(OR(N166="",R166="",J166=""),"",N166*R166*J166*2),"")</f>
        <v/>
      </c>
    </row>
    <row r="167">
      <c r="A167" t="n">
        <v>166</v>
      </c>
      <c r="G167" s="2" t="n"/>
      <c r="H167" s="2" t="n"/>
      <c r="I167" s="2" t="n"/>
      <c r="J167" s="3">
        <f>IFERROR(IF(OR(G167="",H167=""),"",ABS(G167-H167)),"")</f>
        <v/>
      </c>
      <c r="K167" s="2" t="n"/>
      <c r="L167" s="2" t="n"/>
      <c r="N167" s="4" t="n"/>
      <c r="O167" s="4" t="n"/>
      <c r="P167" s="4" t="n"/>
      <c r="Q167" s="2" t="n"/>
      <c r="S167" s="5">
        <f>IFERROR(IF(OR(N167="",R167="",J167=""),"",N167*R167*J167*2),"")</f>
        <v/>
      </c>
    </row>
    <row r="168">
      <c r="A168" t="n">
        <v>167</v>
      </c>
      <c r="G168" s="2" t="n"/>
      <c r="H168" s="2" t="n"/>
      <c r="I168" s="2" t="n"/>
      <c r="J168" s="3">
        <f>IFERROR(IF(OR(G168="",H168=""),"",ABS(G168-H168)),"")</f>
        <v/>
      </c>
      <c r="K168" s="2" t="n"/>
      <c r="L168" s="2" t="n"/>
      <c r="N168" s="4" t="n"/>
      <c r="O168" s="4" t="n"/>
      <c r="P168" s="4" t="n"/>
      <c r="Q168" s="2" t="n"/>
      <c r="S168" s="5">
        <f>IFERROR(IF(OR(N168="",R168="",J168=""),"",N168*R168*J168*2),"")</f>
        <v/>
      </c>
    </row>
    <row r="169">
      <c r="A169" t="n">
        <v>168</v>
      </c>
      <c r="G169" s="2" t="n"/>
      <c r="H169" s="2" t="n"/>
      <c r="I169" s="2" t="n"/>
      <c r="J169" s="3">
        <f>IFERROR(IF(OR(G169="",H169=""),"",ABS(G169-H169)),"")</f>
        <v/>
      </c>
      <c r="K169" s="2" t="n"/>
      <c r="L169" s="2" t="n"/>
      <c r="N169" s="4" t="n"/>
      <c r="O169" s="4" t="n"/>
      <c r="P169" s="4" t="n"/>
      <c r="Q169" s="2" t="n"/>
      <c r="S169" s="5">
        <f>IFERROR(IF(OR(N169="",R169="",J169=""),"",N169*R169*J169*2),"")</f>
        <v/>
      </c>
    </row>
    <row r="170">
      <c r="A170" t="n">
        <v>169</v>
      </c>
      <c r="G170" s="2" t="n"/>
      <c r="H170" s="2" t="n"/>
      <c r="I170" s="2" t="n"/>
      <c r="J170" s="3">
        <f>IFERROR(IF(OR(G170="",H170=""),"",ABS(G170-H170)),"")</f>
        <v/>
      </c>
      <c r="K170" s="2" t="n"/>
      <c r="L170" s="2" t="n"/>
      <c r="N170" s="4" t="n"/>
      <c r="O170" s="4" t="n"/>
      <c r="P170" s="4" t="n"/>
      <c r="Q170" s="2" t="n"/>
      <c r="S170" s="5">
        <f>IFERROR(IF(OR(N170="",R170="",J170=""),"",N170*R170*J170*2),"")</f>
        <v/>
      </c>
    </row>
    <row r="171">
      <c r="A171" t="n">
        <v>170</v>
      </c>
      <c r="G171" s="2" t="n"/>
      <c r="H171" s="2" t="n"/>
      <c r="I171" s="2" t="n"/>
      <c r="J171" s="3">
        <f>IFERROR(IF(OR(G171="",H171=""),"",ABS(G171-H171)),"")</f>
        <v/>
      </c>
      <c r="K171" s="2" t="n"/>
      <c r="L171" s="2" t="n"/>
      <c r="N171" s="4" t="n"/>
      <c r="O171" s="4" t="n"/>
      <c r="P171" s="4" t="n"/>
      <c r="Q171" s="2" t="n"/>
      <c r="S171" s="5">
        <f>IFERROR(IF(OR(N171="",R171="",J171=""),"",N171*R171*J171*2),"")</f>
        <v/>
      </c>
    </row>
    <row r="172">
      <c r="A172" t="n">
        <v>171</v>
      </c>
      <c r="G172" s="2" t="n"/>
      <c r="H172" s="2" t="n"/>
      <c r="I172" s="2" t="n"/>
      <c r="J172" s="3">
        <f>IFERROR(IF(OR(G172="",H172=""),"",ABS(G172-H172)),"")</f>
        <v/>
      </c>
      <c r="K172" s="2" t="n"/>
      <c r="L172" s="2" t="n"/>
      <c r="N172" s="4" t="n"/>
      <c r="O172" s="4" t="n"/>
      <c r="P172" s="4" t="n"/>
      <c r="Q172" s="2" t="n"/>
      <c r="S172" s="5">
        <f>IFERROR(IF(OR(N172="",R172="",J172=""),"",N172*R172*J172*2),"")</f>
        <v/>
      </c>
    </row>
    <row r="173">
      <c r="A173" t="n">
        <v>172</v>
      </c>
      <c r="G173" s="2" t="n"/>
      <c r="H173" s="2" t="n"/>
      <c r="I173" s="2" t="n"/>
      <c r="J173" s="3">
        <f>IFERROR(IF(OR(G173="",H173=""),"",ABS(G173-H173)),"")</f>
        <v/>
      </c>
      <c r="K173" s="2" t="n"/>
      <c r="L173" s="2" t="n"/>
      <c r="N173" s="4" t="n"/>
      <c r="O173" s="4" t="n"/>
      <c r="P173" s="4" t="n"/>
      <c r="Q173" s="2" t="n"/>
      <c r="S173" s="5">
        <f>IFERROR(IF(OR(N173="",R173="",J173=""),"",N173*R173*J173*2),"")</f>
        <v/>
      </c>
    </row>
    <row r="174">
      <c r="A174" t="n">
        <v>173</v>
      </c>
      <c r="G174" s="2" t="n"/>
      <c r="H174" s="2" t="n"/>
      <c r="I174" s="2" t="n"/>
      <c r="J174" s="3">
        <f>IFERROR(IF(OR(G174="",H174=""),"",ABS(G174-H174)),"")</f>
        <v/>
      </c>
      <c r="K174" s="2" t="n"/>
      <c r="L174" s="2" t="n"/>
      <c r="N174" s="4" t="n"/>
      <c r="O174" s="4" t="n"/>
      <c r="P174" s="4" t="n"/>
      <c r="Q174" s="2" t="n"/>
      <c r="S174" s="5">
        <f>IFERROR(IF(OR(N174="",R174="",J174=""),"",N174*R174*J174*2),"")</f>
        <v/>
      </c>
    </row>
    <row r="175">
      <c r="A175" t="n">
        <v>174</v>
      </c>
      <c r="G175" s="2" t="n"/>
      <c r="H175" s="2" t="n"/>
      <c r="I175" s="2" t="n"/>
      <c r="J175" s="3">
        <f>IFERROR(IF(OR(G175="",H175=""),"",ABS(G175-H175)),"")</f>
        <v/>
      </c>
      <c r="K175" s="2" t="n"/>
      <c r="L175" s="2" t="n"/>
      <c r="N175" s="4" t="n"/>
      <c r="O175" s="4" t="n"/>
      <c r="P175" s="4" t="n"/>
      <c r="Q175" s="2" t="n"/>
      <c r="S175" s="5">
        <f>IFERROR(IF(OR(N175="",R175="",J175=""),"",N175*R175*J175*2),"")</f>
        <v/>
      </c>
    </row>
    <row r="176">
      <c r="A176" t="n">
        <v>175</v>
      </c>
      <c r="G176" s="2" t="n"/>
      <c r="H176" s="2" t="n"/>
      <c r="I176" s="2" t="n"/>
      <c r="J176" s="3">
        <f>IFERROR(IF(OR(G176="",H176=""),"",ABS(G176-H176)),"")</f>
        <v/>
      </c>
      <c r="K176" s="2" t="n"/>
      <c r="L176" s="2" t="n"/>
      <c r="N176" s="4" t="n"/>
      <c r="O176" s="4" t="n"/>
      <c r="P176" s="4" t="n"/>
      <c r="Q176" s="2" t="n"/>
      <c r="S176" s="5">
        <f>IFERROR(IF(OR(N176="",R176="",J176=""),"",N176*R176*J176*2),"")</f>
        <v/>
      </c>
    </row>
    <row r="177">
      <c r="A177" t="n">
        <v>176</v>
      </c>
      <c r="G177" s="2" t="n"/>
      <c r="H177" s="2" t="n"/>
      <c r="I177" s="2" t="n"/>
      <c r="J177" s="3">
        <f>IFERROR(IF(OR(G177="",H177=""),"",ABS(G177-H177)),"")</f>
        <v/>
      </c>
      <c r="K177" s="2" t="n"/>
      <c r="L177" s="2" t="n"/>
      <c r="N177" s="4" t="n"/>
      <c r="O177" s="4" t="n"/>
      <c r="P177" s="4" t="n"/>
      <c r="Q177" s="2" t="n"/>
      <c r="S177" s="5">
        <f>IFERROR(IF(OR(N177="",R177="",J177=""),"",N177*R177*J177*2),"")</f>
        <v/>
      </c>
    </row>
    <row r="178">
      <c r="A178" t="n">
        <v>177</v>
      </c>
      <c r="G178" s="2" t="n"/>
      <c r="H178" s="2" t="n"/>
      <c r="I178" s="2" t="n"/>
      <c r="J178" s="3">
        <f>IFERROR(IF(OR(G178="",H178=""),"",ABS(G178-H178)),"")</f>
        <v/>
      </c>
      <c r="K178" s="2" t="n"/>
      <c r="L178" s="2" t="n"/>
      <c r="N178" s="4" t="n"/>
      <c r="O178" s="4" t="n"/>
      <c r="P178" s="4" t="n"/>
      <c r="Q178" s="2" t="n"/>
      <c r="S178" s="5">
        <f>IFERROR(IF(OR(N178="",R178="",J178=""),"",N178*R178*J178*2),"")</f>
        <v/>
      </c>
    </row>
    <row r="179">
      <c r="A179" t="n">
        <v>178</v>
      </c>
      <c r="G179" s="2" t="n"/>
      <c r="H179" s="2" t="n"/>
      <c r="I179" s="2" t="n"/>
      <c r="J179" s="3">
        <f>IFERROR(IF(OR(G179="",H179=""),"",ABS(G179-H179)),"")</f>
        <v/>
      </c>
      <c r="K179" s="2" t="n"/>
      <c r="L179" s="2" t="n"/>
      <c r="N179" s="4" t="n"/>
      <c r="O179" s="4" t="n"/>
      <c r="P179" s="4" t="n"/>
      <c r="Q179" s="2" t="n"/>
      <c r="S179" s="5">
        <f>IFERROR(IF(OR(N179="",R179="",J179=""),"",N179*R179*J179*2),"")</f>
        <v/>
      </c>
    </row>
    <row r="180">
      <c r="A180" t="n">
        <v>179</v>
      </c>
      <c r="G180" s="2" t="n"/>
      <c r="H180" s="2" t="n"/>
      <c r="I180" s="2" t="n"/>
      <c r="J180" s="3">
        <f>IFERROR(IF(OR(G180="",H180=""),"",ABS(G180-H180)),"")</f>
        <v/>
      </c>
      <c r="K180" s="2" t="n"/>
      <c r="L180" s="2" t="n"/>
      <c r="N180" s="4" t="n"/>
      <c r="O180" s="4" t="n"/>
      <c r="P180" s="4" t="n"/>
      <c r="Q180" s="2" t="n"/>
      <c r="S180" s="5">
        <f>IFERROR(IF(OR(N180="",R180="",J180=""),"",N180*R180*J180*2),"")</f>
        <v/>
      </c>
    </row>
    <row r="181">
      <c r="A181" t="n">
        <v>180</v>
      </c>
      <c r="G181" s="2" t="n"/>
      <c r="H181" s="2" t="n"/>
      <c r="I181" s="2" t="n"/>
      <c r="J181" s="3">
        <f>IFERROR(IF(OR(G181="",H181=""),"",ABS(G181-H181)),"")</f>
        <v/>
      </c>
      <c r="K181" s="2" t="n"/>
      <c r="L181" s="2" t="n"/>
      <c r="N181" s="4" t="n"/>
      <c r="O181" s="4" t="n"/>
      <c r="P181" s="4" t="n"/>
      <c r="Q181" s="2" t="n"/>
      <c r="S181" s="5">
        <f>IFERROR(IF(OR(N181="",R181="",J181=""),"",N181*R181*J181*2),"")</f>
        <v/>
      </c>
    </row>
    <row r="182">
      <c r="A182" t="n">
        <v>181</v>
      </c>
      <c r="G182" s="2" t="n"/>
      <c r="H182" s="2" t="n"/>
      <c r="I182" s="2" t="n"/>
      <c r="J182" s="3">
        <f>IFERROR(IF(OR(G182="",H182=""),"",ABS(G182-H182)),"")</f>
        <v/>
      </c>
      <c r="K182" s="2" t="n"/>
      <c r="L182" s="2" t="n"/>
      <c r="N182" s="4" t="n"/>
      <c r="O182" s="4" t="n"/>
      <c r="P182" s="4" t="n"/>
      <c r="Q182" s="2" t="n"/>
      <c r="S182" s="5">
        <f>IFERROR(IF(OR(N182="",R182="",J182=""),"",N182*R182*J182*2),"")</f>
        <v/>
      </c>
    </row>
    <row r="183">
      <c r="A183" t="n">
        <v>182</v>
      </c>
      <c r="G183" s="2" t="n"/>
      <c r="H183" s="2" t="n"/>
      <c r="I183" s="2" t="n"/>
      <c r="J183" s="3">
        <f>IFERROR(IF(OR(G183="",H183=""),"",ABS(G183-H183)),"")</f>
        <v/>
      </c>
      <c r="K183" s="2" t="n"/>
      <c r="L183" s="2" t="n"/>
      <c r="N183" s="4" t="n"/>
      <c r="O183" s="4" t="n"/>
      <c r="P183" s="4" t="n"/>
      <c r="Q183" s="2" t="n"/>
      <c r="S183" s="5">
        <f>IFERROR(IF(OR(N183="",R183="",J183=""),"",N183*R183*J183*2),"")</f>
        <v/>
      </c>
    </row>
    <row r="184">
      <c r="A184" t="n">
        <v>183</v>
      </c>
      <c r="G184" s="2" t="n"/>
      <c r="H184" s="2" t="n"/>
      <c r="I184" s="2" t="n"/>
      <c r="J184" s="3">
        <f>IFERROR(IF(OR(G184="",H184=""),"",ABS(G184-H184)),"")</f>
        <v/>
      </c>
      <c r="K184" s="2" t="n"/>
      <c r="L184" s="2" t="n"/>
      <c r="N184" s="4" t="n"/>
      <c r="O184" s="4" t="n"/>
      <c r="P184" s="4" t="n"/>
      <c r="Q184" s="2" t="n"/>
      <c r="S184" s="5">
        <f>IFERROR(IF(OR(N184="",R184="",J184=""),"",N184*R184*J184*2),"")</f>
        <v/>
      </c>
    </row>
    <row r="185">
      <c r="A185" t="n">
        <v>184</v>
      </c>
      <c r="G185" s="2" t="n"/>
      <c r="H185" s="2" t="n"/>
      <c r="I185" s="2" t="n"/>
      <c r="J185" s="3">
        <f>IFERROR(IF(OR(G185="",H185=""),"",ABS(G185-H185)),"")</f>
        <v/>
      </c>
      <c r="K185" s="2" t="n"/>
      <c r="L185" s="2" t="n"/>
      <c r="N185" s="4" t="n"/>
      <c r="O185" s="4" t="n"/>
      <c r="P185" s="4" t="n"/>
      <c r="Q185" s="2" t="n"/>
      <c r="S185" s="5">
        <f>IFERROR(IF(OR(N185="",R185="",J185=""),"",N185*R185*J185*2),"")</f>
        <v/>
      </c>
    </row>
    <row r="186">
      <c r="A186" t="n">
        <v>185</v>
      </c>
      <c r="G186" s="2" t="n"/>
      <c r="H186" s="2" t="n"/>
      <c r="I186" s="2" t="n"/>
      <c r="J186" s="3">
        <f>IFERROR(IF(OR(G186="",H186=""),"",ABS(G186-H186)),"")</f>
        <v/>
      </c>
      <c r="K186" s="2" t="n"/>
      <c r="L186" s="2" t="n"/>
      <c r="N186" s="4" t="n"/>
      <c r="O186" s="4" t="n"/>
      <c r="P186" s="4" t="n"/>
      <c r="Q186" s="2" t="n"/>
      <c r="S186" s="5">
        <f>IFERROR(IF(OR(N186="",R186="",J186=""),"",N186*R186*J186*2),"")</f>
        <v/>
      </c>
    </row>
    <row r="187">
      <c r="A187" t="n">
        <v>186</v>
      </c>
      <c r="G187" s="2" t="n"/>
      <c r="H187" s="2" t="n"/>
      <c r="I187" s="2" t="n"/>
      <c r="J187" s="3">
        <f>IFERROR(IF(OR(G187="",H187=""),"",ABS(G187-H187)),"")</f>
        <v/>
      </c>
      <c r="K187" s="2" t="n"/>
      <c r="L187" s="2" t="n"/>
      <c r="N187" s="4" t="n"/>
      <c r="O187" s="4" t="n"/>
      <c r="P187" s="4" t="n"/>
      <c r="Q187" s="2" t="n"/>
      <c r="S187" s="5">
        <f>IFERROR(IF(OR(N187="",R187="",J187=""),"",N187*R187*J187*2),"")</f>
        <v/>
      </c>
    </row>
    <row r="188">
      <c r="A188" t="n">
        <v>187</v>
      </c>
      <c r="G188" s="2" t="n"/>
      <c r="H188" s="2" t="n"/>
      <c r="I188" s="2" t="n"/>
      <c r="J188" s="3">
        <f>IFERROR(IF(OR(G188="",H188=""),"",ABS(G188-H188)),"")</f>
        <v/>
      </c>
      <c r="K188" s="2" t="n"/>
      <c r="L188" s="2" t="n"/>
      <c r="N188" s="4" t="n"/>
      <c r="O188" s="4" t="n"/>
      <c r="P188" s="4" t="n"/>
      <c r="Q188" s="2" t="n"/>
      <c r="S188" s="5">
        <f>IFERROR(IF(OR(N188="",R188="",J188=""),"",N188*R188*J188*2),"")</f>
        <v/>
      </c>
    </row>
    <row r="189">
      <c r="A189" t="n">
        <v>188</v>
      </c>
      <c r="G189" s="2" t="n"/>
      <c r="H189" s="2" t="n"/>
      <c r="I189" s="2" t="n"/>
      <c r="J189" s="3">
        <f>IFERROR(IF(OR(G189="",H189=""),"",ABS(G189-H189)),"")</f>
        <v/>
      </c>
      <c r="K189" s="2" t="n"/>
      <c r="L189" s="2" t="n"/>
      <c r="N189" s="4" t="n"/>
      <c r="O189" s="4" t="n"/>
      <c r="P189" s="4" t="n"/>
      <c r="Q189" s="2" t="n"/>
      <c r="S189" s="5">
        <f>IFERROR(IF(OR(N189="",R189="",J189=""),"",N189*R189*J189*2),"")</f>
        <v/>
      </c>
    </row>
    <row r="190">
      <c r="A190" t="n">
        <v>189</v>
      </c>
      <c r="G190" s="2" t="n"/>
      <c r="H190" s="2" t="n"/>
      <c r="I190" s="2" t="n"/>
      <c r="J190" s="3">
        <f>IFERROR(IF(OR(G190="",H190=""),"",ABS(G190-H190)),"")</f>
        <v/>
      </c>
      <c r="K190" s="2" t="n"/>
      <c r="L190" s="2" t="n"/>
      <c r="N190" s="4" t="n"/>
      <c r="O190" s="4" t="n"/>
      <c r="P190" s="4" t="n"/>
      <c r="Q190" s="2" t="n"/>
      <c r="S190" s="5">
        <f>IFERROR(IF(OR(N190="",R190="",J190=""),"",N190*R190*J190*2),"")</f>
        <v/>
      </c>
    </row>
    <row r="191">
      <c r="A191" t="n">
        <v>190</v>
      </c>
      <c r="G191" s="2" t="n"/>
      <c r="H191" s="2" t="n"/>
      <c r="I191" s="2" t="n"/>
      <c r="J191" s="3">
        <f>IFERROR(IF(OR(G191="",H191=""),"",ABS(G191-H191)),"")</f>
        <v/>
      </c>
      <c r="K191" s="2" t="n"/>
      <c r="L191" s="2" t="n"/>
      <c r="N191" s="4" t="n"/>
      <c r="O191" s="4" t="n"/>
      <c r="P191" s="4" t="n"/>
      <c r="Q191" s="2" t="n"/>
      <c r="S191" s="5">
        <f>IFERROR(IF(OR(N191="",R191="",J191=""),"",N191*R191*J191*2),"")</f>
        <v/>
      </c>
    </row>
    <row r="192">
      <c r="A192" t="n">
        <v>191</v>
      </c>
      <c r="G192" s="2" t="n"/>
      <c r="H192" s="2" t="n"/>
      <c r="I192" s="2" t="n"/>
      <c r="J192" s="3">
        <f>IFERROR(IF(OR(G192="",H192=""),"",ABS(G192-H192)),"")</f>
        <v/>
      </c>
      <c r="K192" s="2" t="n"/>
      <c r="L192" s="2" t="n"/>
      <c r="N192" s="4" t="n"/>
      <c r="O192" s="4" t="n"/>
      <c r="P192" s="4" t="n"/>
      <c r="Q192" s="2" t="n"/>
      <c r="S192" s="5">
        <f>IFERROR(IF(OR(N192="",R192="",J192=""),"",N192*R192*J192*2),"")</f>
        <v/>
      </c>
    </row>
    <row r="193">
      <c r="A193" t="n">
        <v>192</v>
      </c>
      <c r="G193" s="2" t="n"/>
      <c r="H193" s="2" t="n"/>
      <c r="I193" s="2" t="n"/>
      <c r="J193" s="3">
        <f>IFERROR(IF(OR(G193="",H193=""),"",ABS(G193-H193)),"")</f>
        <v/>
      </c>
      <c r="K193" s="2" t="n"/>
      <c r="L193" s="2" t="n"/>
      <c r="N193" s="4" t="n"/>
      <c r="O193" s="4" t="n"/>
      <c r="P193" s="4" t="n"/>
      <c r="Q193" s="2" t="n"/>
      <c r="S193" s="5">
        <f>IFERROR(IF(OR(N193="",R193="",J193=""),"",N193*R193*J193*2),"")</f>
        <v/>
      </c>
    </row>
    <row r="194">
      <c r="A194" t="n">
        <v>193</v>
      </c>
      <c r="G194" s="2" t="n"/>
      <c r="H194" s="2" t="n"/>
      <c r="I194" s="2" t="n"/>
      <c r="J194" s="3">
        <f>IFERROR(IF(OR(G194="",H194=""),"",ABS(G194-H194)),"")</f>
        <v/>
      </c>
      <c r="K194" s="2" t="n"/>
      <c r="L194" s="2" t="n"/>
      <c r="N194" s="4" t="n"/>
      <c r="O194" s="4" t="n"/>
      <c r="P194" s="4" t="n"/>
      <c r="Q194" s="2" t="n"/>
      <c r="S194" s="5">
        <f>IFERROR(IF(OR(N194="",R194="",J194=""),"",N194*R194*J194*2),"")</f>
        <v/>
      </c>
    </row>
    <row r="195">
      <c r="A195" t="n">
        <v>194</v>
      </c>
      <c r="G195" s="2" t="n"/>
      <c r="H195" s="2" t="n"/>
      <c r="I195" s="2" t="n"/>
      <c r="J195" s="3">
        <f>IFERROR(IF(OR(G195="",H195=""),"",ABS(G195-H195)),"")</f>
        <v/>
      </c>
      <c r="K195" s="2" t="n"/>
      <c r="L195" s="2" t="n"/>
      <c r="N195" s="4" t="n"/>
      <c r="O195" s="4" t="n"/>
      <c r="P195" s="4" t="n"/>
      <c r="Q195" s="2" t="n"/>
      <c r="S195" s="5">
        <f>IFERROR(IF(OR(N195="",R195="",J195=""),"",N195*R195*J195*2),"")</f>
        <v/>
      </c>
    </row>
    <row r="196">
      <c r="A196" t="n">
        <v>195</v>
      </c>
      <c r="G196" s="2" t="n"/>
      <c r="H196" s="2" t="n"/>
      <c r="I196" s="2" t="n"/>
      <c r="J196" s="3">
        <f>IFERROR(IF(OR(G196="",H196=""),"",ABS(G196-H196)),"")</f>
        <v/>
      </c>
      <c r="K196" s="2" t="n"/>
      <c r="L196" s="2" t="n"/>
      <c r="N196" s="4" t="n"/>
      <c r="O196" s="4" t="n"/>
      <c r="P196" s="4" t="n"/>
      <c r="Q196" s="2" t="n"/>
      <c r="S196" s="5">
        <f>IFERROR(IF(OR(N196="",R196="",J196=""),"",N196*R196*J196*2),"")</f>
        <v/>
      </c>
    </row>
    <row r="197">
      <c r="A197" t="n">
        <v>196</v>
      </c>
      <c r="G197" s="2" t="n"/>
      <c r="H197" s="2" t="n"/>
      <c r="I197" s="2" t="n"/>
      <c r="J197" s="3">
        <f>IFERROR(IF(OR(G197="",H197=""),"",ABS(G197-H197)),"")</f>
        <v/>
      </c>
      <c r="K197" s="2" t="n"/>
      <c r="L197" s="2" t="n"/>
      <c r="N197" s="4" t="n"/>
      <c r="O197" s="4" t="n"/>
      <c r="P197" s="4" t="n"/>
      <c r="Q197" s="2" t="n"/>
      <c r="S197" s="5">
        <f>IFERROR(IF(OR(N197="",R197="",J197=""),"",N197*R197*J197*2),"")</f>
        <v/>
      </c>
    </row>
    <row r="198">
      <c r="A198" t="n">
        <v>197</v>
      </c>
      <c r="G198" s="2" t="n"/>
      <c r="H198" s="2" t="n"/>
      <c r="I198" s="2" t="n"/>
      <c r="J198" s="3">
        <f>IFERROR(IF(OR(G198="",H198=""),"",ABS(G198-H198)),"")</f>
        <v/>
      </c>
      <c r="K198" s="2" t="n"/>
      <c r="L198" s="2" t="n"/>
      <c r="N198" s="4" t="n"/>
      <c r="O198" s="4" t="n"/>
      <c r="P198" s="4" t="n"/>
      <c r="Q198" s="2" t="n"/>
      <c r="S198" s="5">
        <f>IFERROR(IF(OR(N198="",R198="",J198=""),"",N198*R198*J198*2),"")</f>
        <v/>
      </c>
    </row>
    <row r="199">
      <c r="A199" t="n">
        <v>198</v>
      </c>
      <c r="G199" s="2" t="n"/>
      <c r="H199" s="2" t="n"/>
      <c r="I199" s="2" t="n"/>
      <c r="J199" s="3">
        <f>IFERROR(IF(OR(G199="",H199=""),"",ABS(G199-H199)),"")</f>
        <v/>
      </c>
      <c r="K199" s="2" t="n"/>
      <c r="L199" s="2" t="n"/>
      <c r="N199" s="4" t="n"/>
      <c r="O199" s="4" t="n"/>
      <c r="P199" s="4" t="n"/>
      <c r="Q199" s="2" t="n"/>
      <c r="S199" s="5">
        <f>IFERROR(IF(OR(N199="",R199="",J199=""),"",N199*R199*J199*2),"")</f>
        <v/>
      </c>
    </row>
    <row r="200">
      <c r="A200" t="n">
        <v>199</v>
      </c>
      <c r="G200" s="2" t="n"/>
      <c r="H200" s="2" t="n"/>
      <c r="I200" s="2" t="n"/>
      <c r="J200" s="3">
        <f>IFERROR(IF(OR(G200="",H200=""),"",ABS(G200-H200)),"")</f>
        <v/>
      </c>
      <c r="K200" s="2" t="n"/>
      <c r="L200" s="2" t="n"/>
      <c r="N200" s="4" t="n"/>
      <c r="O200" s="4" t="n"/>
      <c r="P200" s="4" t="n"/>
      <c r="Q200" s="2" t="n"/>
      <c r="S200" s="5">
        <f>IFERROR(IF(OR(N200="",R200="",J200=""),"",N200*R200*J200*2),"")</f>
        <v/>
      </c>
    </row>
    <row r="201">
      <c r="A201" t="n">
        <v>200</v>
      </c>
      <c r="G201" s="2" t="n"/>
      <c r="H201" s="2" t="n"/>
      <c r="I201" s="2" t="n"/>
      <c r="J201" s="3">
        <f>IFERROR(IF(OR(G201="",H201=""),"",ABS(G201-H201)),"")</f>
        <v/>
      </c>
      <c r="K201" s="2" t="n"/>
      <c r="L201" s="2" t="n"/>
      <c r="N201" s="4" t="n"/>
      <c r="O201" s="4" t="n"/>
      <c r="P201" s="4" t="n"/>
      <c r="Q201" s="2" t="n"/>
      <c r="S201" s="5">
        <f>IFERROR(IF(OR(N201="",R201="",J201=""),"",N201*R201*J201*2),"")</f>
        <v/>
      </c>
    </row>
    <row r="202">
      <c r="A202" t="n">
        <v>201</v>
      </c>
      <c r="G202" s="2" t="n"/>
      <c r="H202" s="2" t="n"/>
      <c r="I202" s="2" t="n"/>
      <c r="J202" s="3">
        <f>IFERROR(IF(OR(G202="",H202=""),"",ABS(G202-H202)),"")</f>
        <v/>
      </c>
      <c r="K202" s="2" t="n"/>
      <c r="L202" s="2" t="n"/>
      <c r="N202" s="4" t="n"/>
      <c r="O202" s="4" t="n"/>
      <c r="P202" s="4" t="n"/>
      <c r="Q202" s="2" t="n"/>
      <c r="S202" s="5">
        <f>IFERROR(IF(OR(N202="",R202="",J202=""),"",N202*R202*J202*2),"")</f>
        <v/>
      </c>
    </row>
    <row r="203">
      <c r="A203" t="n">
        <v>202</v>
      </c>
      <c r="G203" s="2" t="n"/>
      <c r="H203" s="2" t="n"/>
      <c r="I203" s="2" t="n"/>
      <c r="J203" s="3">
        <f>IFERROR(IF(OR(G203="",H203=""),"",ABS(G203-H203)),"")</f>
        <v/>
      </c>
      <c r="K203" s="2" t="n"/>
      <c r="L203" s="2" t="n"/>
      <c r="N203" s="4" t="n"/>
      <c r="O203" s="4" t="n"/>
      <c r="P203" s="4" t="n"/>
      <c r="Q203" s="2" t="n"/>
      <c r="S203" s="5">
        <f>IFERROR(IF(OR(N203="",R203="",J203=""),"",N203*R203*J203*2),"")</f>
        <v/>
      </c>
    </row>
    <row r="204">
      <c r="A204" t="n">
        <v>203</v>
      </c>
      <c r="G204" s="2" t="n"/>
      <c r="H204" s="2" t="n"/>
      <c r="I204" s="2" t="n"/>
      <c r="J204" s="3">
        <f>IFERROR(IF(OR(G204="",H204=""),"",ABS(G204-H204)),"")</f>
        <v/>
      </c>
      <c r="K204" s="2" t="n"/>
      <c r="L204" s="2" t="n"/>
      <c r="N204" s="4" t="n"/>
      <c r="O204" s="4" t="n"/>
      <c r="P204" s="4" t="n"/>
      <c r="Q204" s="2" t="n"/>
      <c r="S204" s="5">
        <f>IFERROR(IF(OR(N204="",R204="",J204=""),"",N204*R204*J204*2),"")</f>
        <v/>
      </c>
    </row>
    <row r="205">
      <c r="A205" t="n">
        <v>204</v>
      </c>
      <c r="G205" s="2" t="n"/>
      <c r="H205" s="2" t="n"/>
      <c r="I205" s="2" t="n"/>
      <c r="J205" s="3">
        <f>IFERROR(IF(OR(G205="",H205=""),"",ABS(G205-H205)),"")</f>
        <v/>
      </c>
      <c r="K205" s="2" t="n"/>
      <c r="L205" s="2" t="n"/>
      <c r="N205" s="4" t="n"/>
      <c r="O205" s="4" t="n"/>
      <c r="P205" s="4" t="n"/>
      <c r="Q205" s="2" t="n"/>
      <c r="S205" s="5">
        <f>IFERROR(IF(OR(N205="",R205="",J205=""),"",N205*R205*J205*2),"")</f>
        <v/>
      </c>
    </row>
    <row r="206">
      <c r="A206" t="n">
        <v>205</v>
      </c>
      <c r="G206" s="2" t="n"/>
      <c r="H206" s="2" t="n"/>
      <c r="I206" s="2" t="n"/>
      <c r="J206" s="3">
        <f>IFERROR(IF(OR(G206="",H206=""),"",ABS(G206-H206)),"")</f>
        <v/>
      </c>
      <c r="K206" s="2" t="n"/>
      <c r="L206" s="2" t="n"/>
      <c r="N206" s="4" t="n"/>
      <c r="O206" s="4" t="n"/>
      <c r="P206" s="4" t="n"/>
      <c r="Q206" s="2" t="n"/>
      <c r="S206" s="5">
        <f>IFERROR(IF(OR(N206="",R206="",J206=""),"",N206*R206*J206*2),"")</f>
        <v/>
      </c>
    </row>
    <row r="207">
      <c r="A207" t="n">
        <v>206</v>
      </c>
      <c r="G207" s="2" t="n"/>
      <c r="H207" s="2" t="n"/>
      <c r="I207" s="2" t="n"/>
      <c r="J207" s="3">
        <f>IFERROR(IF(OR(G207="",H207=""),"",ABS(G207-H207)),"")</f>
        <v/>
      </c>
      <c r="K207" s="2" t="n"/>
      <c r="L207" s="2" t="n"/>
      <c r="N207" s="4" t="n"/>
      <c r="O207" s="4" t="n"/>
      <c r="P207" s="4" t="n"/>
      <c r="Q207" s="2" t="n"/>
      <c r="S207" s="5">
        <f>IFERROR(IF(OR(N207="",R207="",J207=""),"",N207*R207*J207*2),"")</f>
        <v/>
      </c>
    </row>
    <row r="208">
      <c r="A208" t="n">
        <v>207</v>
      </c>
      <c r="G208" s="2" t="n"/>
      <c r="H208" s="2" t="n"/>
      <c r="I208" s="2" t="n"/>
      <c r="J208" s="3">
        <f>IFERROR(IF(OR(G208="",H208=""),"",ABS(G208-H208)),"")</f>
        <v/>
      </c>
      <c r="K208" s="2" t="n"/>
      <c r="L208" s="2" t="n"/>
      <c r="N208" s="4" t="n"/>
      <c r="O208" s="4" t="n"/>
      <c r="P208" s="4" t="n"/>
      <c r="Q208" s="2" t="n"/>
      <c r="S208" s="5">
        <f>IFERROR(IF(OR(N208="",R208="",J208=""),"",N208*R208*J208*2),"")</f>
        <v/>
      </c>
    </row>
    <row r="209">
      <c r="A209" t="n">
        <v>208</v>
      </c>
      <c r="G209" s="2" t="n"/>
      <c r="H209" s="2" t="n"/>
      <c r="I209" s="2" t="n"/>
      <c r="J209" s="3">
        <f>IFERROR(IF(OR(G209="",H209=""),"",ABS(G209-H209)),"")</f>
        <v/>
      </c>
      <c r="K209" s="2" t="n"/>
      <c r="L209" s="2" t="n"/>
      <c r="N209" s="4" t="n"/>
      <c r="O209" s="4" t="n"/>
      <c r="P209" s="4" t="n"/>
      <c r="Q209" s="2" t="n"/>
      <c r="S209" s="5">
        <f>IFERROR(IF(OR(N209="",R209="",J209=""),"",N209*R209*J209*2),"")</f>
        <v/>
      </c>
    </row>
    <row r="210">
      <c r="A210" t="n">
        <v>209</v>
      </c>
      <c r="G210" s="2" t="n"/>
      <c r="H210" s="2" t="n"/>
      <c r="I210" s="2" t="n"/>
      <c r="J210" s="3">
        <f>IFERROR(IF(OR(G210="",H210=""),"",ABS(G210-H210)),"")</f>
        <v/>
      </c>
      <c r="K210" s="2" t="n"/>
      <c r="L210" s="2" t="n"/>
      <c r="N210" s="4" t="n"/>
      <c r="O210" s="4" t="n"/>
      <c r="P210" s="4" t="n"/>
      <c r="Q210" s="2" t="n"/>
      <c r="S210" s="5">
        <f>IFERROR(IF(OR(N210="",R210="",J210=""),"",N210*R210*J210*2),"")</f>
        <v/>
      </c>
    </row>
    <row r="211">
      <c r="A211" t="n">
        <v>210</v>
      </c>
      <c r="G211" s="2" t="n"/>
      <c r="H211" s="2" t="n"/>
      <c r="I211" s="2" t="n"/>
      <c r="J211" s="3">
        <f>IFERROR(IF(OR(G211="",H211=""),"",ABS(G211-H211)),"")</f>
        <v/>
      </c>
      <c r="K211" s="2" t="n"/>
      <c r="L211" s="2" t="n"/>
      <c r="N211" s="4" t="n"/>
      <c r="O211" s="4" t="n"/>
      <c r="P211" s="4" t="n"/>
      <c r="Q211" s="2" t="n"/>
      <c r="S211" s="5">
        <f>IFERROR(IF(OR(N211="",R211="",J211=""),"",N211*R211*J211*2),"")</f>
        <v/>
      </c>
    </row>
    <row r="212">
      <c r="A212" t="n">
        <v>211</v>
      </c>
      <c r="G212" s="2" t="n"/>
      <c r="H212" s="2" t="n"/>
      <c r="I212" s="2" t="n"/>
      <c r="J212" s="3">
        <f>IFERROR(IF(OR(G212="",H212=""),"",ABS(G212-H212)),"")</f>
        <v/>
      </c>
      <c r="K212" s="2" t="n"/>
      <c r="L212" s="2" t="n"/>
      <c r="N212" s="4" t="n"/>
      <c r="O212" s="4" t="n"/>
      <c r="P212" s="4" t="n"/>
      <c r="Q212" s="2" t="n"/>
      <c r="S212" s="5">
        <f>IFERROR(IF(OR(N212="",R212="",J212=""),"",N212*R212*J212*2),"")</f>
        <v/>
      </c>
    </row>
    <row r="213">
      <c r="A213" t="n">
        <v>212</v>
      </c>
      <c r="G213" s="2" t="n"/>
      <c r="H213" s="2" t="n"/>
      <c r="I213" s="2" t="n"/>
      <c r="J213" s="3">
        <f>IFERROR(IF(OR(G213="",H213=""),"",ABS(G213-H213)),"")</f>
        <v/>
      </c>
      <c r="K213" s="2" t="n"/>
      <c r="L213" s="2" t="n"/>
      <c r="N213" s="4" t="n"/>
      <c r="O213" s="4" t="n"/>
      <c r="P213" s="4" t="n"/>
      <c r="Q213" s="2" t="n"/>
      <c r="S213" s="5">
        <f>IFERROR(IF(OR(N213="",R213="",J213=""),"",N213*R213*J213*2),"")</f>
        <v/>
      </c>
    </row>
    <row r="214">
      <c r="A214" t="n">
        <v>213</v>
      </c>
      <c r="G214" s="2" t="n"/>
      <c r="H214" s="2" t="n"/>
      <c r="I214" s="2" t="n"/>
      <c r="J214" s="3">
        <f>IFERROR(IF(OR(G214="",H214=""),"",ABS(G214-H214)),"")</f>
        <v/>
      </c>
      <c r="K214" s="2" t="n"/>
      <c r="L214" s="2" t="n"/>
      <c r="N214" s="4" t="n"/>
      <c r="O214" s="4" t="n"/>
      <c r="P214" s="4" t="n"/>
      <c r="Q214" s="2" t="n"/>
      <c r="S214" s="5">
        <f>IFERROR(IF(OR(N214="",R214="",J214=""),"",N214*R214*J214*2),"")</f>
        <v/>
      </c>
    </row>
    <row r="215">
      <c r="A215" t="n">
        <v>214</v>
      </c>
      <c r="G215" s="2" t="n"/>
      <c r="H215" s="2" t="n"/>
      <c r="I215" s="2" t="n"/>
      <c r="J215" s="3">
        <f>IFERROR(IF(OR(G215="",H215=""),"",ABS(G215-H215)),"")</f>
        <v/>
      </c>
      <c r="K215" s="2" t="n"/>
      <c r="L215" s="2" t="n"/>
      <c r="N215" s="4" t="n"/>
      <c r="O215" s="4" t="n"/>
      <c r="P215" s="4" t="n"/>
      <c r="Q215" s="2" t="n"/>
      <c r="S215" s="5">
        <f>IFERROR(IF(OR(N215="",R215="",J215=""),"",N215*R215*J215*2),"")</f>
        <v/>
      </c>
    </row>
    <row r="216">
      <c r="A216" t="n">
        <v>215</v>
      </c>
      <c r="G216" s="2" t="n"/>
      <c r="H216" s="2" t="n"/>
      <c r="I216" s="2" t="n"/>
      <c r="J216" s="3">
        <f>IFERROR(IF(OR(G216="",H216=""),"",ABS(G216-H216)),"")</f>
        <v/>
      </c>
      <c r="K216" s="2" t="n"/>
      <c r="L216" s="2" t="n"/>
      <c r="N216" s="4" t="n"/>
      <c r="O216" s="4" t="n"/>
      <c r="P216" s="4" t="n"/>
      <c r="Q216" s="2" t="n"/>
      <c r="S216" s="5">
        <f>IFERROR(IF(OR(N216="",R216="",J216=""),"",N216*R216*J216*2),"")</f>
        <v/>
      </c>
    </row>
    <row r="217">
      <c r="A217" t="n">
        <v>216</v>
      </c>
      <c r="G217" s="2" t="n"/>
      <c r="H217" s="2" t="n"/>
      <c r="I217" s="2" t="n"/>
      <c r="J217" s="3">
        <f>IFERROR(IF(OR(G217="",H217=""),"",ABS(G217-H217)),"")</f>
        <v/>
      </c>
      <c r="K217" s="2" t="n"/>
      <c r="L217" s="2" t="n"/>
      <c r="N217" s="4" t="n"/>
      <c r="O217" s="4" t="n"/>
      <c r="P217" s="4" t="n"/>
      <c r="Q217" s="2" t="n"/>
      <c r="S217" s="5">
        <f>IFERROR(IF(OR(N217="",R217="",J217=""),"",N217*R217*J217*2),"")</f>
        <v/>
      </c>
    </row>
    <row r="218">
      <c r="A218" t="n">
        <v>217</v>
      </c>
      <c r="G218" s="2" t="n"/>
      <c r="H218" s="2" t="n"/>
      <c r="I218" s="2" t="n"/>
      <c r="J218" s="3">
        <f>IFERROR(IF(OR(G218="",H218=""),"",ABS(G218-H218)),"")</f>
        <v/>
      </c>
      <c r="K218" s="2" t="n"/>
      <c r="L218" s="2" t="n"/>
      <c r="N218" s="4" t="n"/>
      <c r="O218" s="4" t="n"/>
      <c r="P218" s="4" t="n"/>
      <c r="Q218" s="2" t="n"/>
      <c r="S218" s="5">
        <f>IFERROR(IF(OR(N218="",R218="",J218=""),"",N218*R218*J218*2),"")</f>
        <v/>
      </c>
    </row>
    <row r="219">
      <c r="A219" t="n">
        <v>218</v>
      </c>
      <c r="G219" s="2" t="n"/>
      <c r="H219" s="2" t="n"/>
      <c r="I219" s="2" t="n"/>
      <c r="J219" s="3">
        <f>IFERROR(IF(OR(G219="",H219=""),"",ABS(G219-H219)),"")</f>
        <v/>
      </c>
      <c r="K219" s="2" t="n"/>
      <c r="L219" s="2" t="n"/>
      <c r="N219" s="4" t="n"/>
      <c r="O219" s="4" t="n"/>
      <c r="P219" s="4" t="n"/>
      <c r="Q219" s="2" t="n"/>
      <c r="S219" s="5">
        <f>IFERROR(IF(OR(N219="",R219="",J219=""),"",N219*R219*J219*2),"")</f>
        <v/>
      </c>
    </row>
    <row r="220">
      <c r="A220" t="n">
        <v>219</v>
      </c>
      <c r="G220" s="2" t="n"/>
      <c r="H220" s="2" t="n"/>
      <c r="I220" s="2" t="n"/>
      <c r="J220" s="3">
        <f>IFERROR(IF(OR(G220="",H220=""),"",ABS(G220-H220)),"")</f>
        <v/>
      </c>
      <c r="K220" s="2" t="n"/>
      <c r="L220" s="2" t="n"/>
      <c r="N220" s="4" t="n"/>
      <c r="O220" s="4" t="n"/>
      <c r="P220" s="4" t="n"/>
      <c r="Q220" s="2" t="n"/>
      <c r="S220" s="5">
        <f>IFERROR(IF(OR(N220="",R220="",J220=""),"",N220*R220*J220*2),"")</f>
        <v/>
      </c>
    </row>
    <row r="221">
      <c r="A221" t="n">
        <v>220</v>
      </c>
      <c r="G221" s="2" t="n"/>
      <c r="H221" s="2" t="n"/>
      <c r="I221" s="2" t="n"/>
      <c r="J221" s="3">
        <f>IFERROR(IF(OR(G221="",H221=""),"",ABS(G221-H221)),"")</f>
        <v/>
      </c>
      <c r="K221" s="2" t="n"/>
      <c r="L221" s="2" t="n"/>
      <c r="N221" s="4" t="n"/>
      <c r="O221" s="4" t="n"/>
      <c r="P221" s="4" t="n"/>
      <c r="Q221" s="2" t="n"/>
      <c r="S221" s="5">
        <f>IFERROR(IF(OR(N221="",R221="",J221=""),"",N221*R221*J221*2),"")</f>
        <v/>
      </c>
    </row>
    <row r="222">
      <c r="A222" t="n">
        <v>221</v>
      </c>
      <c r="G222" s="2" t="n"/>
      <c r="H222" s="2" t="n"/>
      <c r="I222" s="2" t="n"/>
      <c r="J222" s="3">
        <f>IFERROR(IF(OR(G222="",H222=""),"",ABS(G222-H222)),"")</f>
        <v/>
      </c>
      <c r="K222" s="2" t="n"/>
      <c r="L222" s="2" t="n"/>
      <c r="N222" s="4" t="n"/>
      <c r="O222" s="4" t="n"/>
      <c r="P222" s="4" t="n"/>
      <c r="Q222" s="2" t="n"/>
      <c r="S222" s="5">
        <f>IFERROR(IF(OR(N222="",R222="",J222=""),"",N222*R222*J222*2),"")</f>
        <v/>
      </c>
    </row>
    <row r="223">
      <c r="A223" t="n">
        <v>222</v>
      </c>
      <c r="G223" s="2" t="n"/>
      <c r="H223" s="2" t="n"/>
      <c r="I223" s="2" t="n"/>
      <c r="J223" s="3">
        <f>IFERROR(IF(OR(G223="",H223=""),"",ABS(G223-H223)),"")</f>
        <v/>
      </c>
      <c r="K223" s="2" t="n"/>
      <c r="L223" s="2" t="n"/>
      <c r="N223" s="4" t="n"/>
      <c r="O223" s="4" t="n"/>
      <c r="P223" s="4" t="n"/>
      <c r="Q223" s="2" t="n"/>
      <c r="S223" s="5">
        <f>IFERROR(IF(OR(N223="",R223="",J223=""),"",N223*R223*J223*2),"")</f>
        <v/>
      </c>
    </row>
    <row r="224">
      <c r="A224" t="n">
        <v>223</v>
      </c>
      <c r="G224" s="2" t="n"/>
      <c r="H224" s="2" t="n"/>
      <c r="I224" s="2" t="n"/>
      <c r="J224" s="3">
        <f>IFERROR(IF(OR(G224="",H224=""),"",ABS(G224-H224)),"")</f>
        <v/>
      </c>
      <c r="K224" s="2" t="n"/>
      <c r="L224" s="2" t="n"/>
      <c r="N224" s="4" t="n"/>
      <c r="O224" s="4" t="n"/>
      <c r="P224" s="4" t="n"/>
      <c r="Q224" s="2" t="n"/>
      <c r="S224" s="5">
        <f>IFERROR(IF(OR(N224="",R224="",J224=""),"",N224*R224*J224*2),"")</f>
        <v/>
      </c>
    </row>
    <row r="225">
      <c r="A225" t="n">
        <v>224</v>
      </c>
      <c r="G225" s="2" t="n"/>
      <c r="H225" s="2" t="n"/>
      <c r="I225" s="2" t="n"/>
      <c r="J225" s="3">
        <f>IFERROR(IF(OR(G225="",H225=""),"",ABS(G225-H225)),"")</f>
        <v/>
      </c>
      <c r="K225" s="2" t="n"/>
      <c r="L225" s="2" t="n"/>
      <c r="N225" s="4" t="n"/>
      <c r="O225" s="4" t="n"/>
      <c r="P225" s="4" t="n"/>
      <c r="Q225" s="2" t="n"/>
      <c r="S225" s="5">
        <f>IFERROR(IF(OR(N225="",R225="",J225=""),"",N225*R225*J225*2),"")</f>
        <v/>
      </c>
    </row>
    <row r="226">
      <c r="A226" t="n">
        <v>225</v>
      </c>
      <c r="G226" s="2" t="n"/>
      <c r="H226" s="2" t="n"/>
      <c r="I226" s="2" t="n"/>
      <c r="J226" s="3">
        <f>IFERROR(IF(OR(G226="",H226=""),"",ABS(G226-H226)),"")</f>
        <v/>
      </c>
      <c r="K226" s="2" t="n"/>
      <c r="L226" s="2" t="n"/>
      <c r="N226" s="4" t="n"/>
      <c r="O226" s="4" t="n"/>
      <c r="P226" s="4" t="n"/>
      <c r="Q226" s="2" t="n"/>
      <c r="S226" s="5">
        <f>IFERROR(IF(OR(N226="",R226="",J226=""),"",N226*R226*J226*2),"")</f>
        <v/>
      </c>
    </row>
    <row r="227">
      <c r="A227" t="n">
        <v>226</v>
      </c>
      <c r="G227" s="2" t="n"/>
      <c r="H227" s="2" t="n"/>
      <c r="I227" s="2" t="n"/>
      <c r="J227" s="3">
        <f>IFERROR(IF(OR(G227="",H227=""),"",ABS(G227-H227)),"")</f>
        <v/>
      </c>
      <c r="K227" s="2" t="n"/>
      <c r="L227" s="2" t="n"/>
      <c r="N227" s="4" t="n"/>
      <c r="O227" s="4" t="n"/>
      <c r="P227" s="4" t="n"/>
      <c r="Q227" s="2" t="n"/>
      <c r="S227" s="5">
        <f>IFERROR(IF(OR(N227="",R227="",J227=""),"",N227*R227*J227*2),"")</f>
        <v/>
      </c>
    </row>
    <row r="228">
      <c r="A228" t="n">
        <v>227</v>
      </c>
      <c r="G228" s="2" t="n"/>
      <c r="H228" s="2" t="n"/>
      <c r="I228" s="2" t="n"/>
      <c r="J228" s="3">
        <f>IFERROR(IF(OR(G228="",H228=""),"",ABS(G228-H228)),"")</f>
        <v/>
      </c>
      <c r="K228" s="2" t="n"/>
      <c r="L228" s="2" t="n"/>
      <c r="N228" s="4" t="n"/>
      <c r="O228" s="4" t="n"/>
      <c r="P228" s="4" t="n"/>
      <c r="Q228" s="2" t="n"/>
      <c r="S228" s="5">
        <f>IFERROR(IF(OR(N228="",R228="",J228=""),"",N228*R228*J228*2),"")</f>
        <v/>
      </c>
    </row>
    <row r="229">
      <c r="A229" t="n">
        <v>228</v>
      </c>
      <c r="G229" s="2" t="n"/>
      <c r="H229" s="2" t="n"/>
      <c r="I229" s="2" t="n"/>
      <c r="J229" s="3">
        <f>IFERROR(IF(OR(G229="",H229=""),"",ABS(G229-H229)),"")</f>
        <v/>
      </c>
      <c r="K229" s="2" t="n"/>
      <c r="L229" s="2" t="n"/>
      <c r="N229" s="4" t="n"/>
      <c r="O229" s="4" t="n"/>
      <c r="P229" s="4" t="n"/>
      <c r="Q229" s="2" t="n"/>
      <c r="S229" s="5">
        <f>IFERROR(IF(OR(N229="",R229="",J229=""),"",N229*R229*J229*2),"")</f>
        <v/>
      </c>
    </row>
    <row r="230">
      <c r="A230" t="n">
        <v>229</v>
      </c>
      <c r="G230" s="2" t="n"/>
      <c r="H230" s="2" t="n"/>
      <c r="I230" s="2" t="n"/>
      <c r="J230" s="3">
        <f>IFERROR(IF(OR(G230="",H230=""),"",ABS(G230-H230)),"")</f>
        <v/>
      </c>
      <c r="K230" s="2" t="n"/>
      <c r="L230" s="2" t="n"/>
      <c r="N230" s="4" t="n"/>
      <c r="O230" s="4" t="n"/>
      <c r="P230" s="4" t="n"/>
      <c r="Q230" s="2" t="n"/>
      <c r="S230" s="5">
        <f>IFERROR(IF(OR(N230="",R230="",J230=""),"",N230*R230*J230*2),"")</f>
        <v/>
      </c>
    </row>
    <row r="231">
      <c r="A231" t="n">
        <v>230</v>
      </c>
      <c r="G231" s="2" t="n"/>
      <c r="H231" s="2" t="n"/>
      <c r="I231" s="2" t="n"/>
      <c r="J231" s="3">
        <f>IFERROR(IF(OR(G231="",H231=""),"",ABS(G231-H231)),"")</f>
        <v/>
      </c>
      <c r="K231" s="2" t="n"/>
      <c r="L231" s="2" t="n"/>
      <c r="N231" s="4" t="n"/>
      <c r="O231" s="4" t="n"/>
      <c r="P231" s="4" t="n"/>
      <c r="Q231" s="2" t="n"/>
      <c r="S231" s="5">
        <f>IFERROR(IF(OR(N231="",R231="",J231=""),"",N231*R231*J231*2),"")</f>
        <v/>
      </c>
    </row>
    <row r="232">
      <c r="A232" t="n">
        <v>231</v>
      </c>
      <c r="G232" s="2" t="n"/>
      <c r="H232" s="2" t="n"/>
      <c r="I232" s="2" t="n"/>
      <c r="J232" s="3">
        <f>IFERROR(IF(OR(G232="",H232=""),"",ABS(G232-H232)),"")</f>
        <v/>
      </c>
      <c r="K232" s="2" t="n"/>
      <c r="L232" s="2" t="n"/>
      <c r="N232" s="4" t="n"/>
      <c r="O232" s="4" t="n"/>
      <c r="P232" s="4" t="n"/>
      <c r="Q232" s="2" t="n"/>
      <c r="S232" s="5">
        <f>IFERROR(IF(OR(N232="",R232="",J232=""),"",N232*R232*J232*2),"")</f>
        <v/>
      </c>
    </row>
    <row r="233">
      <c r="A233" t="n">
        <v>232</v>
      </c>
      <c r="G233" s="2" t="n"/>
      <c r="H233" s="2" t="n"/>
      <c r="I233" s="2" t="n"/>
      <c r="J233" s="3">
        <f>IFERROR(IF(OR(G233="",H233=""),"",ABS(G233-H233)),"")</f>
        <v/>
      </c>
      <c r="K233" s="2" t="n"/>
      <c r="L233" s="2" t="n"/>
      <c r="N233" s="4" t="n"/>
      <c r="O233" s="4" t="n"/>
      <c r="P233" s="4" t="n"/>
      <c r="Q233" s="2" t="n"/>
      <c r="S233" s="5">
        <f>IFERROR(IF(OR(N233="",R233="",J233=""),"",N233*R233*J233*2),"")</f>
        <v/>
      </c>
    </row>
    <row r="234">
      <c r="A234" t="n">
        <v>233</v>
      </c>
      <c r="G234" s="2" t="n"/>
      <c r="H234" s="2" t="n"/>
      <c r="I234" s="2" t="n"/>
      <c r="J234" s="3">
        <f>IFERROR(IF(OR(G234="",H234=""),"",ABS(G234-H234)),"")</f>
        <v/>
      </c>
      <c r="K234" s="2" t="n"/>
      <c r="L234" s="2" t="n"/>
      <c r="N234" s="4" t="n"/>
      <c r="O234" s="4" t="n"/>
      <c r="P234" s="4" t="n"/>
      <c r="Q234" s="2" t="n"/>
      <c r="S234" s="5">
        <f>IFERROR(IF(OR(N234="",R234="",J234=""),"",N234*R234*J234*2),"")</f>
        <v/>
      </c>
    </row>
    <row r="235">
      <c r="A235" t="n">
        <v>234</v>
      </c>
      <c r="G235" s="2" t="n"/>
      <c r="H235" s="2" t="n"/>
      <c r="I235" s="2" t="n"/>
      <c r="J235" s="3">
        <f>IFERROR(IF(OR(G235="",H235=""),"",ABS(G235-H235)),"")</f>
        <v/>
      </c>
      <c r="K235" s="2" t="n"/>
      <c r="L235" s="2" t="n"/>
      <c r="N235" s="4" t="n"/>
      <c r="O235" s="4" t="n"/>
      <c r="P235" s="4" t="n"/>
      <c r="Q235" s="2" t="n"/>
      <c r="S235" s="5">
        <f>IFERROR(IF(OR(N235="",R235="",J235=""),"",N235*R235*J235*2),"")</f>
        <v/>
      </c>
    </row>
    <row r="236">
      <c r="A236" t="n">
        <v>235</v>
      </c>
      <c r="G236" s="2" t="n"/>
      <c r="H236" s="2" t="n"/>
      <c r="I236" s="2" t="n"/>
      <c r="J236" s="3">
        <f>IFERROR(IF(OR(G236="",H236=""),"",ABS(G236-H236)),"")</f>
        <v/>
      </c>
      <c r="K236" s="2" t="n"/>
      <c r="L236" s="2" t="n"/>
      <c r="N236" s="4" t="n"/>
      <c r="O236" s="4" t="n"/>
      <c r="P236" s="4" t="n"/>
      <c r="Q236" s="2" t="n"/>
      <c r="S236" s="5">
        <f>IFERROR(IF(OR(N236="",R236="",J236=""),"",N236*R236*J236*2),"")</f>
        <v/>
      </c>
    </row>
    <row r="237">
      <c r="A237" t="n">
        <v>236</v>
      </c>
      <c r="G237" s="2" t="n"/>
      <c r="H237" s="2" t="n"/>
      <c r="I237" s="2" t="n"/>
      <c r="J237" s="3">
        <f>IFERROR(IF(OR(G237="",H237=""),"",ABS(G237-H237)),"")</f>
        <v/>
      </c>
      <c r="K237" s="2" t="n"/>
      <c r="L237" s="2" t="n"/>
      <c r="N237" s="4" t="n"/>
      <c r="O237" s="4" t="n"/>
      <c r="P237" s="4" t="n"/>
      <c r="Q237" s="2" t="n"/>
      <c r="S237" s="5">
        <f>IFERROR(IF(OR(N237="",R237="",J237=""),"",N237*R237*J237*2),"")</f>
        <v/>
      </c>
    </row>
    <row r="238">
      <c r="A238" t="n">
        <v>237</v>
      </c>
      <c r="G238" s="2" t="n"/>
      <c r="H238" s="2" t="n"/>
      <c r="I238" s="2" t="n"/>
      <c r="J238" s="3">
        <f>IFERROR(IF(OR(G238="",H238=""),"",ABS(G238-H238)),"")</f>
        <v/>
      </c>
      <c r="K238" s="2" t="n"/>
      <c r="L238" s="2" t="n"/>
      <c r="N238" s="4" t="n"/>
      <c r="O238" s="4" t="n"/>
      <c r="P238" s="4" t="n"/>
      <c r="Q238" s="2" t="n"/>
      <c r="S238" s="5">
        <f>IFERROR(IF(OR(N238="",R238="",J238=""),"",N238*R238*J238*2),"")</f>
        <v/>
      </c>
    </row>
    <row r="239">
      <c r="A239" t="n">
        <v>238</v>
      </c>
      <c r="G239" s="2" t="n"/>
      <c r="H239" s="2" t="n"/>
      <c r="I239" s="2" t="n"/>
      <c r="J239" s="3">
        <f>IFERROR(IF(OR(G239="",H239=""),"",ABS(G239-H239)),"")</f>
        <v/>
      </c>
      <c r="K239" s="2" t="n"/>
      <c r="L239" s="2" t="n"/>
      <c r="N239" s="4" t="n"/>
      <c r="O239" s="4" t="n"/>
      <c r="P239" s="4" t="n"/>
      <c r="Q239" s="2" t="n"/>
      <c r="S239" s="5">
        <f>IFERROR(IF(OR(N239="",R239="",J239=""),"",N239*R239*J239*2),"")</f>
        <v/>
      </c>
    </row>
    <row r="240">
      <c r="A240" t="n">
        <v>239</v>
      </c>
      <c r="G240" s="2" t="n"/>
      <c r="H240" s="2" t="n"/>
      <c r="I240" s="2" t="n"/>
      <c r="J240" s="3">
        <f>IFERROR(IF(OR(G240="",H240=""),"",ABS(G240-H240)),"")</f>
        <v/>
      </c>
      <c r="K240" s="2" t="n"/>
      <c r="L240" s="2" t="n"/>
      <c r="N240" s="4" t="n"/>
      <c r="O240" s="4" t="n"/>
      <c r="P240" s="4" t="n"/>
      <c r="Q240" s="2" t="n"/>
      <c r="S240" s="5">
        <f>IFERROR(IF(OR(N240="",R240="",J240=""),"",N240*R240*J240*2),"")</f>
        <v/>
      </c>
    </row>
    <row r="241">
      <c r="A241" t="n">
        <v>240</v>
      </c>
      <c r="G241" s="2" t="n"/>
      <c r="H241" s="2" t="n"/>
      <c r="I241" s="2" t="n"/>
      <c r="J241" s="3">
        <f>IFERROR(IF(OR(G241="",H241=""),"",ABS(G241-H241)),"")</f>
        <v/>
      </c>
      <c r="K241" s="2" t="n"/>
      <c r="L241" s="2" t="n"/>
      <c r="N241" s="4" t="n"/>
      <c r="O241" s="4" t="n"/>
      <c r="P241" s="4" t="n"/>
      <c r="Q241" s="2" t="n"/>
      <c r="S241" s="5">
        <f>IFERROR(IF(OR(N241="",R241="",J241=""),"",N241*R241*J241*2),"")</f>
        <v/>
      </c>
    </row>
    <row r="242">
      <c r="A242" t="n">
        <v>241</v>
      </c>
      <c r="G242" s="2" t="n"/>
      <c r="H242" s="2" t="n"/>
      <c r="I242" s="2" t="n"/>
      <c r="J242" s="3">
        <f>IFERROR(IF(OR(G242="",H242=""),"",ABS(G242-H242)),"")</f>
        <v/>
      </c>
      <c r="K242" s="2" t="n"/>
      <c r="L242" s="2" t="n"/>
      <c r="N242" s="4" t="n"/>
      <c r="O242" s="4" t="n"/>
      <c r="P242" s="4" t="n"/>
      <c r="Q242" s="2" t="n"/>
      <c r="S242" s="5">
        <f>IFERROR(IF(OR(N242="",R242="",J242=""),"",N242*R242*J242*2),"")</f>
        <v/>
      </c>
    </row>
    <row r="243">
      <c r="A243" t="n">
        <v>242</v>
      </c>
      <c r="G243" s="2" t="n"/>
      <c r="H243" s="2" t="n"/>
      <c r="I243" s="2" t="n"/>
      <c r="J243" s="3">
        <f>IFERROR(IF(OR(G243="",H243=""),"",ABS(G243-H243)),"")</f>
        <v/>
      </c>
      <c r="K243" s="2" t="n"/>
      <c r="L243" s="2" t="n"/>
      <c r="N243" s="4" t="n"/>
      <c r="O243" s="4" t="n"/>
      <c r="P243" s="4" t="n"/>
      <c r="Q243" s="2" t="n"/>
      <c r="S243" s="5">
        <f>IFERROR(IF(OR(N243="",R243="",J243=""),"",N243*R243*J243*2),"")</f>
        <v/>
      </c>
    </row>
    <row r="244">
      <c r="A244" t="n">
        <v>243</v>
      </c>
      <c r="G244" s="2" t="n"/>
      <c r="H244" s="2" t="n"/>
      <c r="I244" s="2" t="n"/>
      <c r="J244" s="3">
        <f>IFERROR(IF(OR(G244="",H244=""),"",ABS(G244-H244)),"")</f>
        <v/>
      </c>
      <c r="K244" s="2" t="n"/>
      <c r="L244" s="2" t="n"/>
      <c r="N244" s="4" t="n"/>
      <c r="O244" s="4" t="n"/>
      <c r="P244" s="4" t="n"/>
      <c r="Q244" s="2" t="n"/>
      <c r="S244" s="5">
        <f>IFERROR(IF(OR(N244="",R244="",J244=""),"",N244*R244*J244*2),"")</f>
        <v/>
      </c>
    </row>
    <row r="245">
      <c r="A245" t="n">
        <v>244</v>
      </c>
      <c r="G245" s="2" t="n"/>
      <c r="H245" s="2" t="n"/>
      <c r="I245" s="2" t="n"/>
      <c r="J245" s="3">
        <f>IFERROR(IF(OR(G245="",H245=""),"",ABS(G245-H245)),"")</f>
        <v/>
      </c>
      <c r="K245" s="2" t="n"/>
      <c r="L245" s="2" t="n"/>
      <c r="N245" s="4" t="n"/>
      <c r="O245" s="4" t="n"/>
      <c r="P245" s="4" t="n"/>
      <c r="Q245" s="2" t="n"/>
      <c r="S245" s="5">
        <f>IFERROR(IF(OR(N245="",R245="",J245=""),"",N245*R245*J245*2),"")</f>
        <v/>
      </c>
    </row>
    <row r="246">
      <c r="A246" t="n">
        <v>245</v>
      </c>
      <c r="G246" s="2" t="n"/>
      <c r="H246" s="2" t="n"/>
      <c r="I246" s="2" t="n"/>
      <c r="J246" s="3">
        <f>IFERROR(IF(OR(G246="",H246=""),"",ABS(G246-H246)),"")</f>
        <v/>
      </c>
      <c r="K246" s="2" t="n"/>
      <c r="L246" s="2" t="n"/>
      <c r="N246" s="4" t="n"/>
      <c r="O246" s="4" t="n"/>
      <c r="P246" s="4" t="n"/>
      <c r="Q246" s="2" t="n"/>
      <c r="S246" s="5">
        <f>IFERROR(IF(OR(N246="",R246="",J246=""),"",N246*R246*J246*2),"")</f>
        <v/>
      </c>
    </row>
    <row r="247">
      <c r="A247" t="n">
        <v>246</v>
      </c>
      <c r="G247" s="2" t="n"/>
      <c r="H247" s="2" t="n"/>
      <c r="I247" s="2" t="n"/>
      <c r="J247" s="3">
        <f>IFERROR(IF(OR(G247="",H247=""),"",ABS(G247-H247)),"")</f>
        <v/>
      </c>
      <c r="K247" s="2" t="n"/>
      <c r="L247" s="2" t="n"/>
      <c r="N247" s="4" t="n"/>
      <c r="O247" s="4" t="n"/>
      <c r="P247" s="4" t="n"/>
      <c r="Q247" s="2" t="n"/>
      <c r="S247" s="5">
        <f>IFERROR(IF(OR(N247="",R247="",J247=""),"",N247*R247*J247*2),"")</f>
        <v/>
      </c>
    </row>
    <row r="248">
      <c r="A248" t="n">
        <v>247</v>
      </c>
      <c r="G248" s="2" t="n"/>
      <c r="H248" s="2" t="n"/>
      <c r="I248" s="2" t="n"/>
      <c r="J248" s="3">
        <f>IFERROR(IF(OR(G248="",H248=""),"",ABS(G248-H248)),"")</f>
        <v/>
      </c>
      <c r="K248" s="2" t="n"/>
      <c r="L248" s="2" t="n"/>
      <c r="N248" s="4" t="n"/>
      <c r="O248" s="4" t="n"/>
      <c r="P248" s="4" t="n"/>
      <c r="Q248" s="2" t="n"/>
      <c r="S248" s="5">
        <f>IFERROR(IF(OR(N248="",R248="",J248=""),"",N248*R248*J248*2),"")</f>
        <v/>
      </c>
    </row>
    <row r="249">
      <c r="A249" t="n">
        <v>248</v>
      </c>
      <c r="G249" s="2" t="n"/>
      <c r="H249" s="2" t="n"/>
      <c r="I249" s="2" t="n"/>
      <c r="J249" s="3">
        <f>IFERROR(IF(OR(G249="",H249=""),"",ABS(G249-H249)),"")</f>
        <v/>
      </c>
      <c r="K249" s="2" t="n"/>
      <c r="L249" s="2" t="n"/>
      <c r="N249" s="4" t="n"/>
      <c r="O249" s="4" t="n"/>
      <c r="P249" s="4" t="n"/>
      <c r="Q249" s="2" t="n"/>
      <c r="S249" s="5">
        <f>IFERROR(IF(OR(N249="",R249="",J249=""),"",N249*R249*J249*2),"")</f>
        <v/>
      </c>
    </row>
    <row r="250">
      <c r="A250" t="n">
        <v>249</v>
      </c>
      <c r="G250" s="2" t="n"/>
      <c r="H250" s="2" t="n"/>
      <c r="I250" s="2" t="n"/>
      <c r="J250" s="3">
        <f>IFERROR(IF(OR(G250="",H250=""),"",ABS(G250-H250)),"")</f>
        <v/>
      </c>
      <c r="K250" s="2" t="n"/>
      <c r="L250" s="2" t="n"/>
      <c r="N250" s="4" t="n"/>
      <c r="O250" s="4" t="n"/>
      <c r="P250" s="4" t="n"/>
      <c r="Q250" s="2" t="n"/>
      <c r="S250" s="5">
        <f>IFERROR(IF(OR(N250="",R250="",J250=""),"",N250*R250*J250*2),"")</f>
        <v/>
      </c>
    </row>
    <row r="251">
      <c r="A251" t="n">
        <v>250</v>
      </c>
      <c r="G251" s="2" t="n"/>
      <c r="H251" s="2" t="n"/>
      <c r="I251" s="2" t="n"/>
      <c r="J251" s="3">
        <f>IFERROR(IF(OR(G251="",H251=""),"",ABS(G251-H251)),"")</f>
        <v/>
      </c>
      <c r="K251" s="2" t="n"/>
      <c r="L251" s="2" t="n"/>
      <c r="N251" s="4" t="n"/>
      <c r="O251" s="4" t="n"/>
      <c r="P251" s="4" t="n"/>
      <c r="Q251" s="2" t="n"/>
      <c r="S251" s="5">
        <f>IFERROR(IF(OR(N251="",R251="",J251=""),"",N251*R251*J251*2),"")</f>
        <v/>
      </c>
    </row>
    <row r="252">
      <c r="A252" t="n">
        <v>251</v>
      </c>
      <c r="G252" s="2" t="n"/>
      <c r="H252" s="2" t="n"/>
      <c r="I252" s="2" t="n"/>
      <c r="J252" s="3">
        <f>IFERROR(IF(OR(G252="",H252=""),"",ABS(G252-H252)),"")</f>
        <v/>
      </c>
      <c r="K252" s="2" t="n"/>
      <c r="L252" s="2" t="n"/>
      <c r="N252" s="4" t="n"/>
      <c r="O252" s="4" t="n"/>
      <c r="P252" s="4" t="n"/>
      <c r="Q252" s="2" t="n"/>
      <c r="S252" s="5">
        <f>IFERROR(IF(OR(N252="",R252="",J252=""),"",N252*R252*J252*2),"")</f>
        <v/>
      </c>
    </row>
    <row r="253">
      <c r="A253" t="n">
        <v>252</v>
      </c>
      <c r="G253" s="2" t="n"/>
      <c r="H253" s="2" t="n"/>
      <c r="I253" s="2" t="n"/>
      <c r="J253" s="3">
        <f>IFERROR(IF(OR(G253="",H253=""),"",ABS(G253-H253)),"")</f>
        <v/>
      </c>
      <c r="K253" s="2" t="n"/>
      <c r="L253" s="2" t="n"/>
      <c r="N253" s="4" t="n"/>
      <c r="O253" s="4" t="n"/>
      <c r="P253" s="4" t="n"/>
      <c r="Q253" s="2" t="n"/>
      <c r="S253" s="5">
        <f>IFERROR(IF(OR(N253="",R253="",J253=""),"",N253*R253*J253*2),"")</f>
        <v/>
      </c>
    </row>
    <row r="254">
      <c r="A254" t="n">
        <v>253</v>
      </c>
      <c r="G254" s="2" t="n"/>
      <c r="H254" s="2" t="n"/>
      <c r="I254" s="2" t="n"/>
      <c r="J254" s="3">
        <f>IFERROR(IF(OR(G254="",H254=""),"",ABS(G254-H254)),"")</f>
        <v/>
      </c>
      <c r="K254" s="2" t="n"/>
      <c r="L254" s="2" t="n"/>
      <c r="N254" s="4" t="n"/>
      <c r="O254" s="4" t="n"/>
      <c r="P254" s="4" t="n"/>
      <c r="Q254" s="2" t="n"/>
      <c r="S254" s="5">
        <f>IFERROR(IF(OR(N254="",R254="",J254=""),"",N254*R254*J254*2),"")</f>
        <v/>
      </c>
    </row>
    <row r="255">
      <c r="A255" t="n">
        <v>254</v>
      </c>
      <c r="G255" s="2" t="n"/>
      <c r="H255" s="2" t="n"/>
      <c r="I255" s="2" t="n"/>
      <c r="J255" s="3">
        <f>IFERROR(IF(OR(G255="",H255=""),"",ABS(G255-H255)),"")</f>
        <v/>
      </c>
      <c r="K255" s="2" t="n"/>
      <c r="L255" s="2" t="n"/>
      <c r="N255" s="4" t="n"/>
      <c r="O255" s="4" t="n"/>
      <c r="P255" s="4" t="n"/>
      <c r="Q255" s="2" t="n"/>
      <c r="S255" s="5">
        <f>IFERROR(IF(OR(N255="",R255="",J255=""),"",N255*R255*J255*2),"")</f>
        <v/>
      </c>
    </row>
    <row r="256">
      <c r="A256" t="n">
        <v>255</v>
      </c>
      <c r="G256" s="2" t="n"/>
      <c r="H256" s="2" t="n"/>
      <c r="I256" s="2" t="n"/>
      <c r="J256" s="3">
        <f>IFERROR(IF(OR(G256="",H256=""),"",ABS(G256-H256)),"")</f>
        <v/>
      </c>
      <c r="K256" s="2" t="n"/>
      <c r="L256" s="2" t="n"/>
      <c r="N256" s="4" t="n"/>
      <c r="O256" s="4" t="n"/>
      <c r="P256" s="4" t="n"/>
      <c r="Q256" s="2" t="n"/>
      <c r="S256" s="5">
        <f>IFERROR(IF(OR(N256="",R256="",J256=""),"",N256*R256*J256*2),"")</f>
        <v/>
      </c>
    </row>
    <row r="257">
      <c r="A257" t="n">
        <v>256</v>
      </c>
      <c r="G257" s="2" t="n"/>
      <c r="H257" s="2" t="n"/>
      <c r="I257" s="2" t="n"/>
      <c r="J257" s="3">
        <f>IFERROR(IF(OR(G257="",H257=""),"",ABS(G257-H257)),"")</f>
        <v/>
      </c>
      <c r="K257" s="2" t="n"/>
      <c r="L257" s="2" t="n"/>
      <c r="N257" s="4" t="n"/>
      <c r="O257" s="4" t="n"/>
      <c r="P257" s="4" t="n"/>
      <c r="Q257" s="2" t="n"/>
      <c r="S257" s="5">
        <f>IFERROR(IF(OR(N257="",R257="",J257=""),"",N257*R257*J257*2),"")</f>
        <v/>
      </c>
    </row>
    <row r="258">
      <c r="A258" t="n">
        <v>257</v>
      </c>
      <c r="G258" s="2" t="n"/>
      <c r="H258" s="2" t="n"/>
      <c r="I258" s="2" t="n"/>
      <c r="J258" s="3">
        <f>IFERROR(IF(OR(G258="",H258=""),"",ABS(G258-H258)),"")</f>
        <v/>
      </c>
      <c r="K258" s="2" t="n"/>
      <c r="L258" s="2" t="n"/>
      <c r="N258" s="4" t="n"/>
      <c r="O258" s="4" t="n"/>
      <c r="P258" s="4" t="n"/>
      <c r="Q258" s="2" t="n"/>
      <c r="S258" s="5">
        <f>IFERROR(IF(OR(N258="",R258="",J258=""),"",N258*R258*J258*2),"")</f>
        <v/>
      </c>
    </row>
    <row r="259">
      <c r="A259" t="n">
        <v>258</v>
      </c>
      <c r="G259" s="2" t="n"/>
      <c r="H259" s="2" t="n"/>
      <c r="I259" s="2" t="n"/>
      <c r="J259" s="3">
        <f>IFERROR(IF(OR(G259="",H259=""),"",ABS(G259-H259)),"")</f>
        <v/>
      </c>
      <c r="K259" s="2" t="n"/>
      <c r="L259" s="2" t="n"/>
      <c r="N259" s="4" t="n"/>
      <c r="O259" s="4" t="n"/>
      <c r="P259" s="4" t="n"/>
      <c r="Q259" s="2" t="n"/>
      <c r="S259" s="5">
        <f>IFERROR(IF(OR(N259="",R259="",J259=""),"",N259*R259*J259*2),"")</f>
        <v/>
      </c>
    </row>
    <row r="260">
      <c r="A260" t="n">
        <v>259</v>
      </c>
      <c r="G260" s="2" t="n"/>
      <c r="H260" s="2" t="n"/>
      <c r="I260" s="2" t="n"/>
      <c r="J260" s="3">
        <f>IFERROR(IF(OR(G260="",H260=""),"",ABS(G260-H260)),"")</f>
        <v/>
      </c>
      <c r="K260" s="2" t="n"/>
      <c r="L260" s="2" t="n"/>
      <c r="N260" s="4" t="n"/>
      <c r="O260" s="4" t="n"/>
      <c r="P260" s="4" t="n"/>
      <c r="Q260" s="2" t="n"/>
      <c r="S260" s="5">
        <f>IFERROR(IF(OR(N260="",R260="",J260=""),"",N260*R260*J260*2),"")</f>
        <v/>
      </c>
    </row>
    <row r="261">
      <c r="A261" t="n">
        <v>260</v>
      </c>
      <c r="G261" s="2" t="n"/>
      <c r="H261" s="2" t="n"/>
      <c r="I261" s="2" t="n"/>
      <c r="J261" s="3">
        <f>IFERROR(IF(OR(G261="",H261=""),"",ABS(G261-H261)),"")</f>
        <v/>
      </c>
      <c r="K261" s="2" t="n"/>
      <c r="L261" s="2" t="n"/>
      <c r="N261" s="4" t="n"/>
      <c r="O261" s="4" t="n"/>
      <c r="P261" s="4" t="n"/>
      <c r="Q261" s="2" t="n"/>
      <c r="S261" s="5">
        <f>IFERROR(IF(OR(N261="",R261="",J261=""),"",N261*R261*J261*2),"")</f>
        <v/>
      </c>
    </row>
    <row r="262">
      <c r="A262" t="n">
        <v>261</v>
      </c>
      <c r="G262" s="2" t="n"/>
      <c r="H262" s="2" t="n"/>
      <c r="I262" s="2" t="n"/>
      <c r="J262" s="3">
        <f>IFERROR(IF(OR(G262="",H262=""),"",ABS(G262-H262)),"")</f>
        <v/>
      </c>
      <c r="K262" s="2" t="n"/>
      <c r="L262" s="2" t="n"/>
      <c r="N262" s="4" t="n"/>
      <c r="O262" s="4" t="n"/>
      <c r="P262" s="4" t="n"/>
      <c r="Q262" s="2" t="n"/>
      <c r="S262" s="5">
        <f>IFERROR(IF(OR(N262="",R262="",J262=""),"",N262*R262*J262*2),"")</f>
        <v/>
      </c>
    </row>
    <row r="263">
      <c r="A263" t="n">
        <v>262</v>
      </c>
      <c r="G263" s="2" t="n"/>
      <c r="H263" s="2" t="n"/>
      <c r="I263" s="2" t="n"/>
      <c r="J263" s="3">
        <f>IFERROR(IF(OR(G263="",H263=""),"",ABS(G263-H263)),"")</f>
        <v/>
      </c>
      <c r="K263" s="2" t="n"/>
      <c r="L263" s="2" t="n"/>
      <c r="N263" s="4" t="n"/>
      <c r="O263" s="4" t="n"/>
      <c r="P263" s="4" t="n"/>
      <c r="Q263" s="2" t="n"/>
      <c r="S263" s="5">
        <f>IFERROR(IF(OR(N263="",R263="",J263=""),"",N263*R263*J263*2),"")</f>
        <v/>
      </c>
    </row>
    <row r="264">
      <c r="A264" t="n">
        <v>263</v>
      </c>
      <c r="G264" s="2" t="n"/>
      <c r="H264" s="2" t="n"/>
      <c r="I264" s="2" t="n"/>
      <c r="J264" s="3">
        <f>IFERROR(IF(OR(G264="",H264=""),"",ABS(G264-H264)),"")</f>
        <v/>
      </c>
      <c r="K264" s="2" t="n"/>
      <c r="L264" s="2" t="n"/>
      <c r="N264" s="4" t="n"/>
      <c r="O264" s="4" t="n"/>
      <c r="P264" s="4" t="n"/>
      <c r="Q264" s="2" t="n"/>
      <c r="S264" s="5">
        <f>IFERROR(IF(OR(N264="",R264="",J264=""),"",N264*R264*J264*2),"")</f>
        <v/>
      </c>
    </row>
    <row r="265">
      <c r="A265" t="n">
        <v>264</v>
      </c>
      <c r="G265" s="2" t="n"/>
      <c r="H265" s="2" t="n"/>
      <c r="I265" s="2" t="n"/>
      <c r="J265" s="3">
        <f>IFERROR(IF(OR(G265="",H265=""),"",ABS(G265-H265)),"")</f>
        <v/>
      </c>
      <c r="K265" s="2" t="n"/>
      <c r="L265" s="2" t="n"/>
      <c r="N265" s="4" t="n"/>
      <c r="O265" s="4" t="n"/>
      <c r="P265" s="4" t="n"/>
      <c r="Q265" s="2" t="n"/>
      <c r="S265" s="5">
        <f>IFERROR(IF(OR(N265="",R265="",J265=""),"",N265*R265*J265*2),"")</f>
        <v/>
      </c>
    </row>
    <row r="266">
      <c r="A266" t="n">
        <v>265</v>
      </c>
      <c r="G266" s="2" t="n"/>
      <c r="H266" s="2" t="n"/>
      <c r="I266" s="2" t="n"/>
      <c r="J266" s="3">
        <f>IFERROR(IF(OR(G266="",H266=""),"",ABS(G266-H266)),"")</f>
        <v/>
      </c>
      <c r="K266" s="2" t="n"/>
      <c r="L266" s="2" t="n"/>
      <c r="N266" s="4" t="n"/>
      <c r="O266" s="4" t="n"/>
      <c r="P266" s="4" t="n"/>
      <c r="Q266" s="2" t="n"/>
      <c r="S266" s="5">
        <f>IFERROR(IF(OR(N266="",R266="",J266=""),"",N266*R266*J266*2),"")</f>
        <v/>
      </c>
    </row>
    <row r="267">
      <c r="A267" t="n">
        <v>266</v>
      </c>
      <c r="G267" s="2" t="n"/>
      <c r="H267" s="2" t="n"/>
      <c r="I267" s="2" t="n"/>
      <c r="J267" s="3">
        <f>IFERROR(IF(OR(G267="",H267=""),"",ABS(G267-H267)),"")</f>
        <v/>
      </c>
      <c r="K267" s="2" t="n"/>
      <c r="L267" s="2" t="n"/>
      <c r="N267" s="4" t="n"/>
      <c r="O267" s="4" t="n"/>
      <c r="P267" s="4" t="n"/>
      <c r="Q267" s="2" t="n"/>
      <c r="S267" s="5">
        <f>IFERROR(IF(OR(N267="",R267="",J267=""),"",N267*R267*J267*2),"")</f>
        <v/>
      </c>
    </row>
    <row r="268">
      <c r="A268" t="n">
        <v>267</v>
      </c>
      <c r="G268" s="2" t="n"/>
      <c r="H268" s="2" t="n"/>
      <c r="I268" s="2" t="n"/>
      <c r="J268" s="3">
        <f>IFERROR(IF(OR(G268="",H268=""),"",ABS(G268-H268)),"")</f>
        <v/>
      </c>
      <c r="K268" s="2" t="n"/>
      <c r="L268" s="2" t="n"/>
      <c r="N268" s="4" t="n"/>
      <c r="O268" s="4" t="n"/>
      <c r="P268" s="4" t="n"/>
      <c r="Q268" s="2" t="n"/>
      <c r="S268" s="5">
        <f>IFERROR(IF(OR(N268="",R268="",J268=""),"",N268*R268*J268*2),"")</f>
        <v/>
      </c>
    </row>
    <row r="269">
      <c r="A269" t="n">
        <v>268</v>
      </c>
      <c r="G269" s="2" t="n"/>
      <c r="H269" s="2" t="n"/>
      <c r="I269" s="2" t="n"/>
      <c r="J269" s="3">
        <f>IFERROR(IF(OR(G269="",H269=""),"",ABS(G269-H269)),"")</f>
        <v/>
      </c>
      <c r="K269" s="2" t="n"/>
      <c r="L269" s="2" t="n"/>
      <c r="N269" s="4" t="n"/>
      <c r="O269" s="4" t="n"/>
      <c r="P269" s="4" t="n"/>
      <c r="Q269" s="2" t="n"/>
      <c r="S269" s="5">
        <f>IFERROR(IF(OR(N269="",R269="",J269=""),"",N269*R269*J269*2),"")</f>
        <v/>
      </c>
    </row>
    <row r="270">
      <c r="A270" t="n">
        <v>269</v>
      </c>
      <c r="G270" s="2" t="n"/>
      <c r="H270" s="2" t="n"/>
      <c r="I270" s="2" t="n"/>
      <c r="J270" s="3">
        <f>IFERROR(IF(OR(G270="",H270=""),"",ABS(G270-H270)),"")</f>
        <v/>
      </c>
      <c r="K270" s="2" t="n"/>
      <c r="L270" s="2" t="n"/>
      <c r="N270" s="4" t="n"/>
      <c r="O270" s="4" t="n"/>
      <c r="P270" s="4" t="n"/>
      <c r="Q270" s="2" t="n"/>
      <c r="S270" s="5">
        <f>IFERROR(IF(OR(N270="",R270="",J270=""),"",N270*R270*J270*2),"")</f>
        <v/>
      </c>
    </row>
    <row r="271">
      <c r="A271" t="n">
        <v>270</v>
      </c>
      <c r="G271" s="2" t="n"/>
      <c r="H271" s="2" t="n"/>
      <c r="I271" s="2" t="n"/>
      <c r="J271" s="3">
        <f>IFERROR(IF(OR(G271="",H271=""),"",ABS(G271-H271)),"")</f>
        <v/>
      </c>
      <c r="K271" s="2" t="n"/>
      <c r="L271" s="2" t="n"/>
      <c r="N271" s="4" t="n"/>
      <c r="O271" s="4" t="n"/>
      <c r="P271" s="4" t="n"/>
      <c r="Q271" s="2" t="n"/>
      <c r="S271" s="5">
        <f>IFERROR(IF(OR(N271="",R271="",J271=""),"",N271*R271*J271*2),"")</f>
        <v/>
      </c>
    </row>
    <row r="272">
      <c r="A272" t="n">
        <v>271</v>
      </c>
      <c r="G272" s="2" t="n"/>
      <c r="H272" s="2" t="n"/>
      <c r="I272" s="2" t="n"/>
      <c r="J272" s="3">
        <f>IFERROR(IF(OR(G272="",H272=""),"",ABS(G272-H272)),"")</f>
        <v/>
      </c>
      <c r="K272" s="2" t="n"/>
      <c r="L272" s="2" t="n"/>
      <c r="N272" s="4" t="n"/>
      <c r="O272" s="4" t="n"/>
      <c r="P272" s="4" t="n"/>
      <c r="Q272" s="2" t="n"/>
      <c r="S272" s="5">
        <f>IFERROR(IF(OR(N272="",R272="",J272=""),"",N272*R272*J272*2),"")</f>
        <v/>
      </c>
    </row>
    <row r="273">
      <c r="A273" t="n">
        <v>272</v>
      </c>
      <c r="G273" s="2" t="n"/>
      <c r="H273" s="2" t="n"/>
      <c r="I273" s="2" t="n"/>
      <c r="J273" s="3">
        <f>IFERROR(IF(OR(G273="",H273=""),"",ABS(G273-H273)),"")</f>
        <v/>
      </c>
      <c r="K273" s="2" t="n"/>
      <c r="L273" s="2" t="n"/>
      <c r="N273" s="4" t="n"/>
      <c r="O273" s="4" t="n"/>
      <c r="P273" s="4" t="n"/>
      <c r="Q273" s="2" t="n"/>
      <c r="S273" s="5">
        <f>IFERROR(IF(OR(N273="",R273="",J273=""),"",N273*R273*J273*2),"")</f>
        <v/>
      </c>
    </row>
    <row r="274">
      <c r="A274" t="n">
        <v>273</v>
      </c>
      <c r="G274" s="2" t="n"/>
      <c r="H274" s="2" t="n"/>
      <c r="I274" s="2" t="n"/>
      <c r="J274" s="3">
        <f>IFERROR(IF(OR(G274="",H274=""),"",ABS(G274-H274)),"")</f>
        <v/>
      </c>
      <c r="K274" s="2" t="n"/>
      <c r="L274" s="2" t="n"/>
      <c r="N274" s="4" t="n"/>
      <c r="O274" s="4" t="n"/>
      <c r="P274" s="4" t="n"/>
      <c r="Q274" s="2" t="n"/>
      <c r="S274" s="5">
        <f>IFERROR(IF(OR(N274="",R274="",J274=""),"",N274*R274*J274*2),"")</f>
        <v/>
      </c>
    </row>
    <row r="275">
      <c r="A275" t="n">
        <v>274</v>
      </c>
      <c r="G275" s="2" t="n"/>
      <c r="H275" s="2" t="n"/>
      <c r="I275" s="2" t="n"/>
      <c r="J275" s="3">
        <f>IFERROR(IF(OR(G275="",H275=""),"",ABS(G275-H275)),"")</f>
        <v/>
      </c>
      <c r="K275" s="2" t="n"/>
      <c r="L275" s="2" t="n"/>
      <c r="N275" s="4" t="n"/>
      <c r="O275" s="4" t="n"/>
      <c r="P275" s="4" t="n"/>
      <c r="Q275" s="2" t="n"/>
      <c r="S275" s="5">
        <f>IFERROR(IF(OR(N275="",R275="",J275=""),"",N275*R275*J275*2),"")</f>
        <v/>
      </c>
    </row>
    <row r="276">
      <c r="A276" t="n">
        <v>275</v>
      </c>
      <c r="G276" s="2" t="n"/>
      <c r="H276" s="2" t="n"/>
      <c r="I276" s="2" t="n"/>
      <c r="J276" s="3">
        <f>IFERROR(IF(OR(G276="",H276=""),"",ABS(G276-H276)),"")</f>
        <v/>
      </c>
      <c r="K276" s="2" t="n"/>
      <c r="L276" s="2" t="n"/>
      <c r="N276" s="4" t="n"/>
      <c r="O276" s="4" t="n"/>
      <c r="P276" s="4" t="n"/>
      <c r="Q276" s="2" t="n"/>
      <c r="S276" s="5">
        <f>IFERROR(IF(OR(N276="",R276="",J276=""),"",N276*R276*J276*2),"")</f>
        <v/>
      </c>
    </row>
    <row r="277">
      <c r="A277" t="n">
        <v>276</v>
      </c>
      <c r="G277" s="2" t="n"/>
      <c r="H277" s="2" t="n"/>
      <c r="I277" s="2" t="n"/>
      <c r="J277" s="3">
        <f>IFERROR(IF(OR(G277="",H277=""),"",ABS(G277-H277)),"")</f>
        <v/>
      </c>
      <c r="K277" s="2" t="n"/>
      <c r="L277" s="2" t="n"/>
      <c r="N277" s="4" t="n"/>
      <c r="O277" s="4" t="n"/>
      <c r="P277" s="4" t="n"/>
      <c r="Q277" s="2" t="n"/>
      <c r="S277" s="5">
        <f>IFERROR(IF(OR(N277="",R277="",J277=""),"",N277*R277*J277*2),"")</f>
        <v/>
      </c>
    </row>
    <row r="278">
      <c r="A278" t="n">
        <v>277</v>
      </c>
      <c r="G278" s="2" t="n"/>
      <c r="H278" s="2" t="n"/>
      <c r="I278" s="2" t="n"/>
      <c r="J278" s="3">
        <f>IFERROR(IF(OR(G278="",H278=""),"",ABS(G278-H278)),"")</f>
        <v/>
      </c>
      <c r="K278" s="2" t="n"/>
      <c r="L278" s="2" t="n"/>
      <c r="N278" s="4" t="n"/>
      <c r="O278" s="4" t="n"/>
      <c r="P278" s="4" t="n"/>
      <c r="Q278" s="2" t="n"/>
      <c r="S278" s="5">
        <f>IFERROR(IF(OR(N278="",R278="",J278=""),"",N278*R278*J278*2),"")</f>
        <v/>
      </c>
    </row>
    <row r="279">
      <c r="A279" t="n">
        <v>278</v>
      </c>
      <c r="G279" s="2" t="n"/>
      <c r="H279" s="2" t="n"/>
      <c r="I279" s="2" t="n"/>
      <c r="J279" s="3">
        <f>IFERROR(IF(OR(G279="",H279=""),"",ABS(G279-H279)),"")</f>
        <v/>
      </c>
      <c r="K279" s="2" t="n"/>
      <c r="L279" s="2" t="n"/>
      <c r="N279" s="4" t="n"/>
      <c r="O279" s="4" t="n"/>
      <c r="P279" s="4" t="n"/>
      <c r="Q279" s="2" t="n"/>
      <c r="S279" s="5">
        <f>IFERROR(IF(OR(N279="",R279="",J279=""),"",N279*R279*J279*2),"")</f>
        <v/>
      </c>
    </row>
    <row r="280">
      <c r="A280" t="n">
        <v>279</v>
      </c>
      <c r="G280" s="2" t="n"/>
      <c r="H280" s="2" t="n"/>
      <c r="I280" s="2" t="n"/>
      <c r="J280" s="3">
        <f>IFERROR(IF(OR(G280="",H280=""),"",ABS(G280-H280)),"")</f>
        <v/>
      </c>
      <c r="K280" s="2" t="n"/>
      <c r="L280" s="2" t="n"/>
      <c r="N280" s="4" t="n"/>
      <c r="O280" s="4" t="n"/>
      <c r="P280" s="4" t="n"/>
      <c r="Q280" s="2" t="n"/>
      <c r="S280" s="5">
        <f>IFERROR(IF(OR(N280="",R280="",J280=""),"",N280*R280*J280*2),"")</f>
        <v/>
      </c>
    </row>
    <row r="281">
      <c r="A281" t="n">
        <v>280</v>
      </c>
      <c r="G281" s="2" t="n"/>
      <c r="H281" s="2" t="n"/>
      <c r="I281" s="2" t="n"/>
      <c r="J281" s="3">
        <f>IFERROR(IF(OR(G281="",H281=""),"",ABS(G281-H281)),"")</f>
        <v/>
      </c>
      <c r="K281" s="2" t="n"/>
      <c r="L281" s="2" t="n"/>
      <c r="N281" s="4" t="n"/>
      <c r="O281" s="4" t="n"/>
      <c r="P281" s="4" t="n"/>
      <c r="Q281" s="2" t="n"/>
      <c r="S281" s="5">
        <f>IFERROR(IF(OR(N281="",R281="",J281=""),"",N281*R281*J281*2),"")</f>
        <v/>
      </c>
    </row>
    <row r="282">
      <c r="A282" t="n">
        <v>281</v>
      </c>
      <c r="G282" s="2" t="n"/>
      <c r="H282" s="2" t="n"/>
      <c r="I282" s="2" t="n"/>
      <c r="J282" s="3">
        <f>IFERROR(IF(OR(G282="",H282=""),"",ABS(G282-H282)),"")</f>
        <v/>
      </c>
      <c r="K282" s="2" t="n"/>
      <c r="L282" s="2" t="n"/>
      <c r="N282" s="4" t="n"/>
      <c r="O282" s="4" t="n"/>
      <c r="P282" s="4" t="n"/>
      <c r="Q282" s="2" t="n"/>
      <c r="S282" s="5">
        <f>IFERROR(IF(OR(N282="",R282="",J282=""),"",N282*R282*J282*2),"")</f>
        <v/>
      </c>
    </row>
    <row r="283">
      <c r="A283" t="n">
        <v>282</v>
      </c>
      <c r="G283" s="2" t="n"/>
      <c r="H283" s="2" t="n"/>
      <c r="I283" s="2" t="n"/>
      <c r="J283" s="3">
        <f>IFERROR(IF(OR(G283="",H283=""),"",ABS(G283-H283)),"")</f>
        <v/>
      </c>
      <c r="K283" s="2" t="n"/>
      <c r="L283" s="2" t="n"/>
      <c r="N283" s="4" t="n"/>
      <c r="O283" s="4" t="n"/>
      <c r="P283" s="4" t="n"/>
      <c r="Q283" s="2" t="n"/>
      <c r="S283" s="5">
        <f>IFERROR(IF(OR(N283="",R283="",J283=""),"",N283*R283*J283*2),"")</f>
        <v/>
      </c>
    </row>
    <row r="284">
      <c r="A284" t="n">
        <v>283</v>
      </c>
      <c r="G284" s="2" t="n"/>
      <c r="H284" s="2" t="n"/>
      <c r="I284" s="2" t="n"/>
      <c r="J284" s="3">
        <f>IFERROR(IF(OR(G284="",H284=""),"",ABS(G284-H284)),"")</f>
        <v/>
      </c>
      <c r="K284" s="2" t="n"/>
      <c r="L284" s="2" t="n"/>
      <c r="N284" s="4" t="n"/>
      <c r="O284" s="4" t="n"/>
      <c r="P284" s="4" t="n"/>
      <c r="Q284" s="2" t="n"/>
      <c r="S284" s="5">
        <f>IFERROR(IF(OR(N284="",R284="",J284=""),"",N284*R284*J284*2),"")</f>
        <v/>
      </c>
    </row>
    <row r="285">
      <c r="A285" t="n">
        <v>284</v>
      </c>
      <c r="G285" s="2" t="n"/>
      <c r="H285" s="2" t="n"/>
      <c r="I285" s="2" t="n"/>
      <c r="J285" s="3">
        <f>IFERROR(IF(OR(G285="",H285=""),"",ABS(G285-H285)),"")</f>
        <v/>
      </c>
      <c r="K285" s="2" t="n"/>
      <c r="L285" s="2" t="n"/>
      <c r="N285" s="4" t="n"/>
      <c r="O285" s="4" t="n"/>
      <c r="P285" s="4" t="n"/>
      <c r="Q285" s="2" t="n"/>
      <c r="S285" s="5">
        <f>IFERROR(IF(OR(N285="",R285="",J285=""),"",N285*R285*J285*2),"")</f>
        <v/>
      </c>
    </row>
    <row r="286">
      <c r="A286" t="n">
        <v>285</v>
      </c>
      <c r="G286" s="2" t="n"/>
      <c r="H286" s="2" t="n"/>
      <c r="I286" s="2" t="n"/>
      <c r="J286" s="3">
        <f>IFERROR(IF(OR(G286="",H286=""),"",ABS(G286-H286)),"")</f>
        <v/>
      </c>
      <c r="K286" s="2" t="n"/>
      <c r="L286" s="2" t="n"/>
      <c r="N286" s="4" t="n"/>
      <c r="O286" s="4" t="n"/>
      <c r="P286" s="4" t="n"/>
      <c r="Q286" s="2" t="n"/>
      <c r="S286" s="5">
        <f>IFERROR(IF(OR(N286="",R286="",J286=""),"",N286*R286*J286*2),"")</f>
        <v/>
      </c>
    </row>
    <row r="287">
      <c r="A287" t="n">
        <v>286</v>
      </c>
      <c r="G287" s="2" t="n"/>
      <c r="H287" s="2" t="n"/>
      <c r="I287" s="2" t="n"/>
      <c r="J287" s="3">
        <f>IFERROR(IF(OR(G287="",H287=""),"",ABS(G287-H287)),"")</f>
        <v/>
      </c>
      <c r="K287" s="2" t="n"/>
      <c r="L287" s="2" t="n"/>
      <c r="N287" s="4" t="n"/>
      <c r="O287" s="4" t="n"/>
      <c r="P287" s="4" t="n"/>
      <c r="Q287" s="2" t="n"/>
      <c r="S287" s="5">
        <f>IFERROR(IF(OR(N287="",R287="",J287=""),"",N287*R287*J287*2),"")</f>
        <v/>
      </c>
    </row>
    <row r="288">
      <c r="A288" t="n">
        <v>287</v>
      </c>
      <c r="G288" s="2" t="n"/>
      <c r="H288" s="2" t="n"/>
      <c r="I288" s="2" t="n"/>
      <c r="J288" s="3">
        <f>IFERROR(IF(OR(G288="",H288=""),"",ABS(G288-H288)),"")</f>
        <v/>
      </c>
      <c r="K288" s="2" t="n"/>
      <c r="L288" s="2" t="n"/>
      <c r="N288" s="4" t="n"/>
      <c r="O288" s="4" t="n"/>
      <c r="P288" s="4" t="n"/>
      <c r="Q288" s="2" t="n"/>
      <c r="S288" s="5">
        <f>IFERROR(IF(OR(N288="",R288="",J288=""),"",N288*R288*J288*2),"")</f>
        <v/>
      </c>
    </row>
    <row r="289">
      <c r="A289" t="n">
        <v>288</v>
      </c>
      <c r="G289" s="2" t="n"/>
      <c r="H289" s="2" t="n"/>
      <c r="I289" s="2" t="n"/>
      <c r="J289" s="3">
        <f>IFERROR(IF(OR(G289="",H289=""),"",ABS(G289-H289)),"")</f>
        <v/>
      </c>
      <c r="K289" s="2" t="n"/>
      <c r="L289" s="2" t="n"/>
      <c r="N289" s="4" t="n"/>
      <c r="O289" s="4" t="n"/>
      <c r="P289" s="4" t="n"/>
      <c r="Q289" s="2" t="n"/>
      <c r="S289" s="5">
        <f>IFERROR(IF(OR(N289="",R289="",J289=""),"",N289*R289*J289*2),"")</f>
        <v/>
      </c>
    </row>
    <row r="290">
      <c r="A290" t="n">
        <v>289</v>
      </c>
      <c r="G290" s="2" t="n"/>
      <c r="H290" s="2" t="n"/>
      <c r="I290" s="2" t="n"/>
      <c r="J290" s="3">
        <f>IFERROR(IF(OR(G290="",H290=""),"",ABS(G290-H290)),"")</f>
        <v/>
      </c>
      <c r="K290" s="2" t="n"/>
      <c r="L290" s="2" t="n"/>
      <c r="N290" s="4" t="n"/>
      <c r="O290" s="4" t="n"/>
      <c r="P290" s="4" t="n"/>
      <c r="Q290" s="2" t="n"/>
      <c r="S290" s="5">
        <f>IFERROR(IF(OR(N290="",R290="",J290=""),"",N290*R290*J290*2),"")</f>
        <v/>
      </c>
    </row>
    <row r="291">
      <c r="A291" t="n">
        <v>290</v>
      </c>
      <c r="G291" s="2" t="n"/>
      <c r="H291" s="2" t="n"/>
      <c r="I291" s="2" t="n"/>
      <c r="J291" s="3">
        <f>IFERROR(IF(OR(G291="",H291=""),"",ABS(G291-H291)),"")</f>
        <v/>
      </c>
      <c r="K291" s="2" t="n"/>
      <c r="L291" s="2" t="n"/>
      <c r="N291" s="4" t="n"/>
      <c r="O291" s="4" t="n"/>
      <c r="P291" s="4" t="n"/>
      <c r="Q291" s="2" t="n"/>
      <c r="S291" s="5">
        <f>IFERROR(IF(OR(N291="",R291="",J291=""),"",N291*R291*J291*2),"")</f>
        <v/>
      </c>
    </row>
    <row r="292">
      <c r="A292" t="n">
        <v>291</v>
      </c>
      <c r="G292" s="2" t="n"/>
      <c r="H292" s="2" t="n"/>
      <c r="I292" s="2" t="n"/>
      <c r="J292" s="3">
        <f>IFERROR(IF(OR(G292="",H292=""),"",ABS(G292-H292)),"")</f>
        <v/>
      </c>
      <c r="K292" s="2" t="n"/>
      <c r="L292" s="2" t="n"/>
      <c r="N292" s="4" t="n"/>
      <c r="O292" s="4" t="n"/>
      <c r="P292" s="4" t="n"/>
      <c r="Q292" s="2" t="n"/>
      <c r="S292" s="5">
        <f>IFERROR(IF(OR(N292="",R292="",J292=""),"",N292*R292*J292*2),"")</f>
        <v/>
      </c>
    </row>
    <row r="293">
      <c r="A293" t="n">
        <v>292</v>
      </c>
      <c r="G293" s="2" t="n"/>
      <c r="H293" s="2" t="n"/>
      <c r="I293" s="2" t="n"/>
      <c r="J293" s="3">
        <f>IFERROR(IF(OR(G293="",H293=""),"",ABS(G293-H293)),"")</f>
        <v/>
      </c>
      <c r="K293" s="2" t="n"/>
      <c r="L293" s="2" t="n"/>
      <c r="N293" s="4" t="n"/>
      <c r="O293" s="4" t="n"/>
      <c r="P293" s="4" t="n"/>
      <c r="Q293" s="2" t="n"/>
      <c r="S293" s="5">
        <f>IFERROR(IF(OR(N293="",R293="",J293=""),"",N293*R293*J293*2),"")</f>
        <v/>
      </c>
    </row>
    <row r="294">
      <c r="A294" t="n">
        <v>293</v>
      </c>
      <c r="G294" s="2" t="n"/>
      <c r="H294" s="2" t="n"/>
      <c r="I294" s="2" t="n"/>
      <c r="J294" s="3">
        <f>IFERROR(IF(OR(G294="",H294=""),"",ABS(G294-H294)),"")</f>
        <v/>
      </c>
      <c r="K294" s="2" t="n"/>
      <c r="L294" s="2" t="n"/>
      <c r="N294" s="4" t="n"/>
      <c r="O294" s="4" t="n"/>
      <c r="P294" s="4" t="n"/>
      <c r="Q294" s="2" t="n"/>
      <c r="S294" s="5">
        <f>IFERROR(IF(OR(N294="",R294="",J294=""),"",N294*R294*J294*2),"")</f>
        <v/>
      </c>
    </row>
    <row r="295">
      <c r="A295" t="n">
        <v>294</v>
      </c>
      <c r="G295" s="2" t="n"/>
      <c r="H295" s="2" t="n"/>
      <c r="I295" s="2" t="n"/>
      <c r="J295" s="3">
        <f>IFERROR(IF(OR(G295="",H295=""),"",ABS(G295-H295)),"")</f>
        <v/>
      </c>
      <c r="K295" s="2" t="n"/>
      <c r="L295" s="2" t="n"/>
      <c r="N295" s="4" t="n"/>
      <c r="O295" s="4" t="n"/>
      <c r="P295" s="4" t="n"/>
      <c r="Q295" s="2" t="n"/>
      <c r="S295" s="5">
        <f>IFERROR(IF(OR(N295="",R295="",J295=""),"",N295*R295*J295*2),"")</f>
        <v/>
      </c>
    </row>
    <row r="296">
      <c r="A296" t="n">
        <v>295</v>
      </c>
      <c r="G296" s="2" t="n"/>
      <c r="H296" s="2" t="n"/>
      <c r="I296" s="2" t="n"/>
      <c r="J296" s="3">
        <f>IFERROR(IF(OR(G296="",H296=""),"",ABS(G296-H296)),"")</f>
        <v/>
      </c>
      <c r="K296" s="2" t="n"/>
      <c r="L296" s="2" t="n"/>
      <c r="N296" s="4" t="n"/>
      <c r="O296" s="4" t="n"/>
      <c r="P296" s="4" t="n"/>
      <c r="Q296" s="2" t="n"/>
      <c r="S296" s="5">
        <f>IFERROR(IF(OR(N296="",R296="",J296=""),"",N296*R296*J296*2),"")</f>
        <v/>
      </c>
    </row>
    <row r="297">
      <c r="A297" t="n">
        <v>296</v>
      </c>
      <c r="G297" s="2" t="n"/>
      <c r="H297" s="2" t="n"/>
      <c r="I297" s="2" t="n"/>
      <c r="J297" s="3">
        <f>IFERROR(IF(OR(G297="",H297=""),"",ABS(G297-H297)),"")</f>
        <v/>
      </c>
      <c r="K297" s="2" t="n"/>
      <c r="L297" s="2" t="n"/>
      <c r="N297" s="4" t="n"/>
      <c r="O297" s="4" t="n"/>
      <c r="P297" s="4" t="n"/>
      <c r="Q297" s="2" t="n"/>
      <c r="S297" s="5">
        <f>IFERROR(IF(OR(N297="",R297="",J297=""),"",N297*R297*J297*2),"")</f>
        <v/>
      </c>
    </row>
    <row r="298">
      <c r="A298" t="n">
        <v>297</v>
      </c>
      <c r="G298" s="2" t="n"/>
      <c r="H298" s="2" t="n"/>
      <c r="I298" s="2" t="n"/>
      <c r="J298" s="3">
        <f>IFERROR(IF(OR(G298="",H298=""),"",ABS(G298-H298)),"")</f>
        <v/>
      </c>
      <c r="K298" s="2" t="n"/>
      <c r="L298" s="2" t="n"/>
      <c r="N298" s="4" t="n"/>
      <c r="O298" s="4" t="n"/>
      <c r="P298" s="4" t="n"/>
      <c r="Q298" s="2" t="n"/>
      <c r="S298" s="5">
        <f>IFERROR(IF(OR(N298="",R298="",J298=""),"",N298*R298*J298*2),"")</f>
        <v/>
      </c>
    </row>
    <row r="299">
      <c r="A299" t="n">
        <v>298</v>
      </c>
      <c r="G299" s="2" t="n"/>
      <c r="H299" s="2" t="n"/>
      <c r="I299" s="2" t="n"/>
      <c r="J299" s="3">
        <f>IFERROR(IF(OR(G299="",H299=""),"",ABS(G299-H299)),"")</f>
        <v/>
      </c>
      <c r="K299" s="2" t="n"/>
      <c r="L299" s="2" t="n"/>
      <c r="N299" s="4" t="n"/>
      <c r="O299" s="4" t="n"/>
      <c r="P299" s="4" t="n"/>
      <c r="Q299" s="2" t="n"/>
      <c r="S299" s="5">
        <f>IFERROR(IF(OR(N299="",R299="",J299=""),"",N299*R299*J299*2),"")</f>
        <v/>
      </c>
    </row>
    <row r="300">
      <c r="A300" t="n">
        <v>299</v>
      </c>
      <c r="G300" s="2" t="n"/>
      <c r="H300" s="2" t="n"/>
      <c r="I300" s="2" t="n"/>
      <c r="J300" s="3">
        <f>IFERROR(IF(OR(G300="",H300=""),"",ABS(G300-H300)),"")</f>
        <v/>
      </c>
      <c r="K300" s="2" t="n"/>
      <c r="L300" s="2" t="n"/>
      <c r="N300" s="4" t="n"/>
      <c r="O300" s="4" t="n"/>
      <c r="P300" s="4" t="n"/>
      <c r="Q300" s="2" t="n"/>
      <c r="S300" s="5">
        <f>IFERROR(IF(OR(N300="",R300="",J300=""),"",N300*R300*J300*2),"")</f>
        <v/>
      </c>
    </row>
    <row r="301">
      <c r="A301" t="n">
        <v>300</v>
      </c>
      <c r="G301" s="2" t="n"/>
      <c r="H301" s="2" t="n"/>
      <c r="I301" s="2" t="n"/>
      <c r="J301" s="3">
        <f>IFERROR(IF(OR(G301="",H301=""),"",ABS(G301-H301)),"")</f>
        <v/>
      </c>
      <c r="K301" s="2" t="n"/>
      <c r="L301" s="2" t="n"/>
      <c r="N301" s="4" t="n"/>
      <c r="O301" s="4" t="n"/>
      <c r="P301" s="4" t="n"/>
      <c r="Q301" s="2" t="n"/>
      <c r="S301" s="5">
        <f>IFERROR(IF(OR(N301="",R301="",J301=""),"",N301*R301*J301*2),"")</f>
        <v/>
      </c>
    </row>
    <row r="302">
      <c r="A302" t="n">
        <v>301</v>
      </c>
      <c r="G302" s="2" t="n"/>
      <c r="H302" s="2" t="n"/>
      <c r="I302" s="2" t="n"/>
      <c r="J302" s="3">
        <f>IFERROR(IF(OR(G302="",H302=""),"",ABS(G302-H302)),"")</f>
        <v/>
      </c>
      <c r="K302" s="2" t="n"/>
      <c r="L302" s="2" t="n"/>
      <c r="N302" s="4" t="n"/>
      <c r="O302" s="4" t="n"/>
      <c r="P302" s="4" t="n"/>
      <c r="Q302" s="2" t="n"/>
      <c r="S302" s="5">
        <f>IFERROR(IF(OR(N302="",R302="",J302=""),"",N302*R302*J302*2),"")</f>
        <v/>
      </c>
    </row>
    <row r="303">
      <c r="A303" t="n">
        <v>302</v>
      </c>
      <c r="G303" s="2" t="n"/>
      <c r="H303" s="2" t="n"/>
      <c r="I303" s="2" t="n"/>
      <c r="J303" s="3">
        <f>IFERROR(IF(OR(G303="",H303=""),"",ABS(G303-H303)),"")</f>
        <v/>
      </c>
      <c r="K303" s="2" t="n"/>
      <c r="L303" s="2" t="n"/>
      <c r="N303" s="4" t="n"/>
      <c r="O303" s="4" t="n"/>
      <c r="P303" s="4" t="n"/>
      <c r="Q303" s="2" t="n"/>
      <c r="S303" s="5">
        <f>IFERROR(IF(OR(N303="",R303="",J303=""),"",N303*R303*J303*2),"")</f>
        <v/>
      </c>
    </row>
    <row r="304">
      <c r="A304" t="n">
        <v>303</v>
      </c>
      <c r="G304" s="2" t="n"/>
      <c r="H304" s="2" t="n"/>
      <c r="I304" s="2" t="n"/>
      <c r="J304" s="3">
        <f>IFERROR(IF(OR(G304="",H304=""),"",ABS(G304-H304)),"")</f>
        <v/>
      </c>
      <c r="K304" s="2" t="n"/>
      <c r="L304" s="2" t="n"/>
      <c r="N304" s="4" t="n"/>
      <c r="O304" s="4" t="n"/>
      <c r="P304" s="4" t="n"/>
      <c r="Q304" s="2" t="n"/>
      <c r="S304" s="5">
        <f>IFERROR(IF(OR(N304="",R304="",J304=""),"",N304*R304*J304*2),"")</f>
        <v/>
      </c>
    </row>
    <row r="305">
      <c r="A305" t="n">
        <v>304</v>
      </c>
      <c r="G305" s="2" t="n"/>
      <c r="H305" s="2" t="n"/>
      <c r="I305" s="2" t="n"/>
      <c r="J305" s="3">
        <f>IFERROR(IF(OR(G305="",H305=""),"",ABS(G305-H305)),"")</f>
        <v/>
      </c>
      <c r="K305" s="2" t="n"/>
      <c r="L305" s="2" t="n"/>
      <c r="N305" s="4" t="n"/>
      <c r="O305" s="4" t="n"/>
      <c r="P305" s="4" t="n"/>
      <c r="Q305" s="2" t="n"/>
      <c r="S305" s="5">
        <f>IFERROR(IF(OR(N305="",R305="",J305=""),"",N305*R305*J305*2),"")</f>
        <v/>
      </c>
    </row>
    <row r="306">
      <c r="A306" t="n">
        <v>305</v>
      </c>
      <c r="G306" s="2" t="n"/>
      <c r="H306" s="2" t="n"/>
      <c r="I306" s="2" t="n"/>
      <c r="J306" s="3">
        <f>IFERROR(IF(OR(G306="",H306=""),"",ABS(G306-H306)),"")</f>
        <v/>
      </c>
      <c r="K306" s="2" t="n"/>
      <c r="L306" s="2" t="n"/>
      <c r="N306" s="4" t="n"/>
      <c r="O306" s="4" t="n"/>
      <c r="P306" s="4" t="n"/>
      <c r="Q306" s="2" t="n"/>
      <c r="S306" s="5">
        <f>IFERROR(IF(OR(N306="",R306="",J306=""),"",N306*R306*J306*2),"")</f>
        <v/>
      </c>
    </row>
    <row r="307">
      <c r="A307" t="n">
        <v>306</v>
      </c>
      <c r="G307" s="2" t="n"/>
      <c r="H307" s="2" t="n"/>
      <c r="I307" s="2" t="n"/>
      <c r="J307" s="3">
        <f>IFERROR(IF(OR(G307="",H307=""),"",ABS(G307-H307)),"")</f>
        <v/>
      </c>
      <c r="K307" s="2" t="n"/>
      <c r="L307" s="2" t="n"/>
      <c r="N307" s="4" t="n"/>
      <c r="O307" s="4" t="n"/>
      <c r="P307" s="4" t="n"/>
      <c r="Q307" s="2" t="n"/>
      <c r="S307" s="5">
        <f>IFERROR(IF(OR(N307="",R307="",J307=""),"",N307*R307*J307*2),"")</f>
        <v/>
      </c>
    </row>
    <row r="308">
      <c r="A308" t="n">
        <v>307</v>
      </c>
      <c r="G308" s="2" t="n"/>
      <c r="H308" s="2" t="n"/>
      <c r="I308" s="2" t="n"/>
      <c r="J308" s="3">
        <f>IFERROR(IF(OR(G308="",H308=""),"",ABS(G308-H308)),"")</f>
        <v/>
      </c>
      <c r="K308" s="2" t="n"/>
      <c r="L308" s="2" t="n"/>
      <c r="N308" s="4" t="n"/>
      <c r="O308" s="4" t="n"/>
      <c r="P308" s="4" t="n"/>
      <c r="Q308" s="2" t="n"/>
      <c r="S308" s="5">
        <f>IFERROR(IF(OR(N308="",R308="",J308=""),"",N308*R308*J308*2),"")</f>
        <v/>
      </c>
    </row>
    <row r="309">
      <c r="A309" t="n">
        <v>308</v>
      </c>
      <c r="G309" s="2" t="n"/>
      <c r="H309" s="2" t="n"/>
      <c r="I309" s="2" t="n"/>
      <c r="J309" s="3">
        <f>IFERROR(IF(OR(G309="",H309=""),"",ABS(G309-H309)),"")</f>
        <v/>
      </c>
      <c r="K309" s="2" t="n"/>
      <c r="L309" s="2" t="n"/>
      <c r="N309" s="4" t="n"/>
      <c r="O309" s="4" t="n"/>
      <c r="P309" s="4" t="n"/>
      <c r="Q309" s="2" t="n"/>
      <c r="S309" s="5">
        <f>IFERROR(IF(OR(N309="",R309="",J309=""),"",N309*R309*J309*2),"")</f>
        <v/>
      </c>
    </row>
    <row r="310">
      <c r="A310" t="n">
        <v>309</v>
      </c>
      <c r="G310" s="2" t="n"/>
      <c r="H310" s="2" t="n"/>
      <c r="I310" s="2" t="n"/>
      <c r="J310" s="3">
        <f>IFERROR(IF(OR(G310="",H310=""),"",ABS(G310-H310)),"")</f>
        <v/>
      </c>
      <c r="K310" s="2" t="n"/>
      <c r="L310" s="2" t="n"/>
      <c r="N310" s="4" t="n"/>
      <c r="O310" s="4" t="n"/>
      <c r="P310" s="4" t="n"/>
      <c r="Q310" s="2" t="n"/>
      <c r="S310" s="5">
        <f>IFERROR(IF(OR(N310="",R310="",J310=""),"",N310*R310*J310*2),"")</f>
        <v/>
      </c>
    </row>
    <row r="311">
      <c r="A311" t="n">
        <v>310</v>
      </c>
      <c r="G311" s="2" t="n"/>
      <c r="H311" s="2" t="n"/>
      <c r="I311" s="2" t="n"/>
      <c r="J311" s="3">
        <f>IFERROR(IF(OR(G311="",H311=""),"",ABS(G311-H311)),"")</f>
        <v/>
      </c>
      <c r="K311" s="2" t="n"/>
      <c r="L311" s="2" t="n"/>
      <c r="N311" s="4" t="n"/>
      <c r="O311" s="4" t="n"/>
      <c r="P311" s="4" t="n"/>
      <c r="Q311" s="2" t="n"/>
      <c r="S311" s="5">
        <f>IFERROR(IF(OR(N311="",R311="",J311=""),"",N311*R311*J311*2),"")</f>
        <v/>
      </c>
    </row>
    <row r="312">
      <c r="A312" t="n">
        <v>311</v>
      </c>
      <c r="G312" s="2" t="n"/>
      <c r="H312" s="2" t="n"/>
      <c r="I312" s="2" t="n"/>
      <c r="J312" s="3">
        <f>IFERROR(IF(OR(G312="",H312=""),"",ABS(G312-H312)),"")</f>
        <v/>
      </c>
      <c r="K312" s="2" t="n"/>
      <c r="L312" s="2" t="n"/>
      <c r="N312" s="4" t="n"/>
      <c r="O312" s="4" t="n"/>
      <c r="P312" s="4" t="n"/>
      <c r="Q312" s="2" t="n"/>
      <c r="S312" s="5">
        <f>IFERROR(IF(OR(N312="",R312="",J312=""),"",N312*R312*J312*2),"")</f>
        <v/>
      </c>
    </row>
    <row r="313">
      <c r="A313" t="n">
        <v>312</v>
      </c>
      <c r="G313" s="2" t="n"/>
      <c r="H313" s="2" t="n"/>
      <c r="I313" s="2" t="n"/>
      <c r="J313" s="3">
        <f>IFERROR(IF(OR(G313="",H313=""),"",ABS(G313-H313)),"")</f>
        <v/>
      </c>
      <c r="K313" s="2" t="n"/>
      <c r="L313" s="2" t="n"/>
      <c r="N313" s="4" t="n"/>
      <c r="O313" s="4" t="n"/>
      <c r="P313" s="4" t="n"/>
      <c r="Q313" s="2" t="n"/>
      <c r="S313" s="5">
        <f>IFERROR(IF(OR(N313="",R313="",J313=""),"",N313*R313*J313*2),"")</f>
        <v/>
      </c>
    </row>
    <row r="314">
      <c r="A314" t="n">
        <v>313</v>
      </c>
      <c r="G314" s="2" t="n"/>
      <c r="H314" s="2" t="n"/>
      <c r="I314" s="2" t="n"/>
      <c r="J314" s="3">
        <f>IFERROR(IF(OR(G314="",H314=""),"",ABS(G314-H314)),"")</f>
        <v/>
      </c>
      <c r="K314" s="2" t="n"/>
      <c r="L314" s="2" t="n"/>
      <c r="N314" s="4" t="n"/>
      <c r="O314" s="4" t="n"/>
      <c r="P314" s="4" t="n"/>
      <c r="Q314" s="2" t="n"/>
      <c r="S314" s="5">
        <f>IFERROR(IF(OR(N314="",R314="",J314=""),"",N314*R314*J314*2),"")</f>
        <v/>
      </c>
    </row>
    <row r="315">
      <c r="A315" t="n">
        <v>314</v>
      </c>
      <c r="G315" s="2" t="n"/>
      <c r="H315" s="2" t="n"/>
      <c r="I315" s="2" t="n"/>
      <c r="J315" s="3">
        <f>IFERROR(IF(OR(G315="",H315=""),"",ABS(G315-H315)),"")</f>
        <v/>
      </c>
      <c r="K315" s="2" t="n"/>
      <c r="L315" s="2" t="n"/>
      <c r="N315" s="4" t="n"/>
      <c r="O315" s="4" t="n"/>
      <c r="P315" s="4" t="n"/>
      <c r="Q315" s="2" t="n"/>
      <c r="S315" s="5">
        <f>IFERROR(IF(OR(N315="",R315="",J315=""),"",N315*R315*J315*2),"")</f>
        <v/>
      </c>
    </row>
    <row r="316">
      <c r="A316" t="n">
        <v>315</v>
      </c>
      <c r="G316" s="2" t="n"/>
      <c r="H316" s="2" t="n"/>
      <c r="I316" s="2" t="n"/>
      <c r="J316" s="3">
        <f>IFERROR(IF(OR(G316="",H316=""),"",ABS(G316-H316)),"")</f>
        <v/>
      </c>
      <c r="K316" s="2" t="n"/>
      <c r="L316" s="2" t="n"/>
      <c r="N316" s="4" t="n"/>
      <c r="O316" s="4" t="n"/>
      <c r="P316" s="4" t="n"/>
      <c r="Q316" s="2" t="n"/>
      <c r="S316" s="5">
        <f>IFERROR(IF(OR(N316="",R316="",J316=""),"",N316*R316*J316*2),"")</f>
        <v/>
      </c>
    </row>
    <row r="317">
      <c r="A317" t="n">
        <v>316</v>
      </c>
      <c r="G317" s="2" t="n"/>
      <c r="H317" s="2" t="n"/>
      <c r="I317" s="2" t="n"/>
      <c r="J317" s="3">
        <f>IFERROR(IF(OR(G317="",H317=""),"",ABS(G317-H317)),"")</f>
        <v/>
      </c>
      <c r="K317" s="2" t="n"/>
      <c r="L317" s="2" t="n"/>
      <c r="N317" s="4" t="n"/>
      <c r="O317" s="4" t="n"/>
      <c r="P317" s="4" t="n"/>
      <c r="Q317" s="2" t="n"/>
      <c r="S317" s="5">
        <f>IFERROR(IF(OR(N317="",R317="",J317=""),"",N317*R317*J317*2),"")</f>
        <v/>
      </c>
    </row>
    <row r="318">
      <c r="A318" t="n">
        <v>317</v>
      </c>
      <c r="G318" s="2" t="n"/>
      <c r="H318" s="2" t="n"/>
      <c r="I318" s="2" t="n"/>
      <c r="J318" s="3">
        <f>IFERROR(IF(OR(G318="",H318=""),"",ABS(G318-H318)),"")</f>
        <v/>
      </c>
      <c r="K318" s="2" t="n"/>
      <c r="L318" s="2" t="n"/>
      <c r="N318" s="4" t="n"/>
      <c r="O318" s="4" t="n"/>
      <c r="P318" s="4" t="n"/>
      <c r="Q318" s="2" t="n"/>
      <c r="S318" s="5">
        <f>IFERROR(IF(OR(N318="",R318="",J318=""),"",N318*R318*J318*2),"")</f>
        <v/>
      </c>
    </row>
    <row r="319">
      <c r="A319" t="n">
        <v>318</v>
      </c>
      <c r="G319" s="2" t="n"/>
      <c r="H319" s="2" t="n"/>
      <c r="I319" s="2" t="n"/>
      <c r="J319" s="3">
        <f>IFERROR(IF(OR(G319="",H319=""),"",ABS(G319-H319)),"")</f>
        <v/>
      </c>
      <c r="K319" s="2" t="n"/>
      <c r="L319" s="2" t="n"/>
      <c r="N319" s="4" t="n"/>
      <c r="O319" s="4" t="n"/>
      <c r="P319" s="4" t="n"/>
      <c r="Q319" s="2" t="n"/>
      <c r="S319" s="5">
        <f>IFERROR(IF(OR(N319="",R319="",J319=""),"",N319*R319*J319*2),"")</f>
        <v/>
      </c>
    </row>
    <row r="320">
      <c r="A320" t="n">
        <v>319</v>
      </c>
      <c r="G320" s="2" t="n"/>
      <c r="H320" s="2" t="n"/>
      <c r="I320" s="2" t="n"/>
      <c r="J320" s="3">
        <f>IFERROR(IF(OR(G320="",H320=""),"",ABS(G320-H320)),"")</f>
        <v/>
      </c>
      <c r="K320" s="2" t="n"/>
      <c r="L320" s="2" t="n"/>
      <c r="N320" s="4" t="n"/>
      <c r="O320" s="4" t="n"/>
      <c r="P320" s="4" t="n"/>
      <c r="Q320" s="2" t="n"/>
      <c r="S320" s="5">
        <f>IFERROR(IF(OR(N320="",R320="",J320=""),"",N320*R320*J320*2),"")</f>
        <v/>
      </c>
    </row>
    <row r="321">
      <c r="A321" t="n">
        <v>320</v>
      </c>
      <c r="G321" s="2" t="n"/>
      <c r="H321" s="2" t="n"/>
      <c r="I321" s="2" t="n"/>
      <c r="J321" s="3">
        <f>IFERROR(IF(OR(G321="",H321=""),"",ABS(G321-H321)),"")</f>
        <v/>
      </c>
      <c r="K321" s="2" t="n"/>
      <c r="L321" s="2" t="n"/>
      <c r="N321" s="4" t="n"/>
      <c r="O321" s="4" t="n"/>
      <c r="P321" s="4" t="n"/>
      <c r="Q321" s="2" t="n"/>
      <c r="S321" s="5">
        <f>IFERROR(IF(OR(N321="",R321="",J321=""),"",N321*R321*J321*2),"")</f>
        <v/>
      </c>
    </row>
    <row r="322">
      <c r="A322" t="n">
        <v>321</v>
      </c>
      <c r="G322" s="2" t="n"/>
      <c r="H322" s="2" t="n"/>
      <c r="I322" s="2" t="n"/>
      <c r="J322" s="3">
        <f>IFERROR(IF(OR(G322="",H322=""),"",ABS(G322-H322)),"")</f>
        <v/>
      </c>
      <c r="K322" s="2" t="n"/>
      <c r="L322" s="2" t="n"/>
      <c r="N322" s="4" t="n"/>
      <c r="O322" s="4" t="n"/>
      <c r="P322" s="4" t="n"/>
      <c r="Q322" s="2" t="n"/>
      <c r="S322" s="5">
        <f>IFERROR(IF(OR(N322="",R322="",J322=""),"",N322*R322*J322*2),"")</f>
        <v/>
      </c>
    </row>
    <row r="323">
      <c r="A323" t="n">
        <v>322</v>
      </c>
      <c r="G323" s="2" t="n"/>
      <c r="H323" s="2" t="n"/>
      <c r="I323" s="2" t="n"/>
      <c r="J323" s="3">
        <f>IFERROR(IF(OR(G323="",H323=""),"",ABS(G323-H323)),"")</f>
        <v/>
      </c>
      <c r="K323" s="2" t="n"/>
      <c r="L323" s="2" t="n"/>
      <c r="N323" s="4" t="n"/>
      <c r="O323" s="4" t="n"/>
      <c r="P323" s="4" t="n"/>
      <c r="Q323" s="2" t="n"/>
      <c r="S323" s="5">
        <f>IFERROR(IF(OR(N323="",R323="",J323=""),"",N323*R323*J323*2),"")</f>
        <v/>
      </c>
    </row>
    <row r="324">
      <c r="A324" t="n">
        <v>323</v>
      </c>
      <c r="G324" s="2" t="n"/>
      <c r="H324" s="2" t="n"/>
      <c r="I324" s="2" t="n"/>
      <c r="J324" s="3">
        <f>IFERROR(IF(OR(G324="",H324=""),"",ABS(G324-H324)),"")</f>
        <v/>
      </c>
      <c r="K324" s="2" t="n"/>
      <c r="L324" s="2" t="n"/>
      <c r="N324" s="4" t="n"/>
      <c r="O324" s="4" t="n"/>
      <c r="P324" s="4" t="n"/>
      <c r="Q324" s="2" t="n"/>
      <c r="S324" s="5">
        <f>IFERROR(IF(OR(N324="",R324="",J324=""),"",N324*R324*J324*2),"")</f>
        <v/>
      </c>
    </row>
    <row r="325">
      <c r="A325" t="n">
        <v>324</v>
      </c>
      <c r="G325" s="2" t="n"/>
      <c r="H325" s="2" t="n"/>
      <c r="I325" s="2" t="n"/>
      <c r="J325" s="3">
        <f>IFERROR(IF(OR(G325="",H325=""),"",ABS(G325-H325)),"")</f>
        <v/>
      </c>
      <c r="K325" s="2" t="n"/>
      <c r="L325" s="2" t="n"/>
      <c r="N325" s="4" t="n"/>
      <c r="O325" s="4" t="n"/>
      <c r="P325" s="4" t="n"/>
      <c r="Q325" s="2" t="n"/>
      <c r="S325" s="5">
        <f>IFERROR(IF(OR(N325="",R325="",J325=""),"",N325*R325*J325*2),"")</f>
        <v/>
      </c>
    </row>
    <row r="326">
      <c r="A326" t="n">
        <v>325</v>
      </c>
      <c r="G326" s="2" t="n"/>
      <c r="H326" s="2" t="n"/>
      <c r="I326" s="2" t="n"/>
      <c r="J326" s="3">
        <f>IFERROR(IF(OR(G326="",H326=""),"",ABS(G326-H326)),"")</f>
        <v/>
      </c>
      <c r="K326" s="2" t="n"/>
      <c r="L326" s="2" t="n"/>
      <c r="N326" s="4" t="n"/>
      <c r="O326" s="4" t="n"/>
      <c r="P326" s="4" t="n"/>
      <c r="Q326" s="2" t="n"/>
      <c r="S326" s="5">
        <f>IFERROR(IF(OR(N326="",R326="",J326=""),"",N326*R326*J326*2),"")</f>
        <v/>
      </c>
    </row>
    <row r="327">
      <c r="A327" t="n">
        <v>326</v>
      </c>
      <c r="G327" s="2" t="n"/>
      <c r="H327" s="2" t="n"/>
      <c r="I327" s="2" t="n"/>
      <c r="J327" s="3">
        <f>IFERROR(IF(OR(G327="",H327=""),"",ABS(G327-H327)),"")</f>
        <v/>
      </c>
      <c r="K327" s="2" t="n"/>
      <c r="L327" s="2" t="n"/>
      <c r="N327" s="4" t="n"/>
      <c r="O327" s="4" t="n"/>
      <c r="P327" s="4" t="n"/>
      <c r="Q327" s="2" t="n"/>
      <c r="S327" s="5">
        <f>IFERROR(IF(OR(N327="",R327="",J327=""),"",N327*R327*J327*2),"")</f>
        <v/>
      </c>
    </row>
    <row r="328">
      <c r="A328" t="n">
        <v>327</v>
      </c>
      <c r="G328" s="2" t="n"/>
      <c r="H328" s="2" t="n"/>
      <c r="I328" s="2" t="n"/>
      <c r="J328" s="3">
        <f>IFERROR(IF(OR(G328="",H328=""),"",ABS(G328-H328)),"")</f>
        <v/>
      </c>
      <c r="K328" s="2" t="n"/>
      <c r="L328" s="2" t="n"/>
      <c r="N328" s="4" t="n"/>
      <c r="O328" s="4" t="n"/>
      <c r="P328" s="4" t="n"/>
      <c r="Q328" s="2" t="n"/>
      <c r="S328" s="5">
        <f>IFERROR(IF(OR(N328="",R328="",J328=""),"",N328*R328*J328*2),"")</f>
        <v/>
      </c>
    </row>
    <row r="329">
      <c r="A329" t="n">
        <v>328</v>
      </c>
      <c r="G329" s="2" t="n"/>
      <c r="H329" s="2" t="n"/>
      <c r="I329" s="2" t="n"/>
      <c r="J329" s="3">
        <f>IFERROR(IF(OR(G329="",H329=""),"",ABS(G329-H329)),"")</f>
        <v/>
      </c>
      <c r="K329" s="2" t="n"/>
      <c r="L329" s="2" t="n"/>
      <c r="N329" s="4" t="n"/>
      <c r="O329" s="4" t="n"/>
      <c r="P329" s="4" t="n"/>
      <c r="Q329" s="2" t="n"/>
      <c r="S329" s="5">
        <f>IFERROR(IF(OR(N329="",R329="",J329=""),"",N329*R329*J329*2),"")</f>
        <v/>
      </c>
    </row>
    <row r="330">
      <c r="A330" t="n">
        <v>329</v>
      </c>
      <c r="G330" s="2" t="n"/>
      <c r="H330" s="2" t="n"/>
      <c r="I330" s="2" t="n"/>
      <c r="J330" s="3">
        <f>IFERROR(IF(OR(G330="",H330=""),"",ABS(G330-H330)),"")</f>
        <v/>
      </c>
      <c r="K330" s="2" t="n"/>
      <c r="L330" s="2" t="n"/>
      <c r="N330" s="4" t="n"/>
      <c r="O330" s="4" t="n"/>
      <c r="P330" s="4" t="n"/>
      <c r="Q330" s="2" t="n"/>
      <c r="S330" s="5">
        <f>IFERROR(IF(OR(N330="",R330="",J330=""),"",N330*R330*J330*2),"")</f>
        <v/>
      </c>
    </row>
    <row r="331">
      <c r="A331" t="n">
        <v>330</v>
      </c>
      <c r="G331" s="2" t="n"/>
      <c r="H331" s="2" t="n"/>
      <c r="I331" s="2" t="n"/>
      <c r="J331" s="3">
        <f>IFERROR(IF(OR(G331="",H331=""),"",ABS(G331-H331)),"")</f>
        <v/>
      </c>
      <c r="K331" s="2" t="n"/>
      <c r="L331" s="2" t="n"/>
      <c r="N331" s="4" t="n"/>
      <c r="O331" s="4" t="n"/>
      <c r="P331" s="4" t="n"/>
      <c r="Q331" s="2" t="n"/>
      <c r="S331" s="5">
        <f>IFERROR(IF(OR(N331="",R331="",J331=""),"",N331*R331*J331*2),"")</f>
        <v/>
      </c>
    </row>
    <row r="332">
      <c r="A332" t="n">
        <v>331</v>
      </c>
      <c r="G332" s="2" t="n"/>
      <c r="H332" s="2" t="n"/>
      <c r="I332" s="2" t="n"/>
      <c r="J332" s="3">
        <f>IFERROR(IF(OR(G332="",H332=""),"",ABS(G332-H332)),"")</f>
        <v/>
      </c>
      <c r="K332" s="2" t="n"/>
      <c r="L332" s="2" t="n"/>
      <c r="N332" s="4" t="n"/>
      <c r="O332" s="4" t="n"/>
      <c r="P332" s="4" t="n"/>
      <c r="Q332" s="2" t="n"/>
      <c r="S332" s="5">
        <f>IFERROR(IF(OR(N332="",R332="",J332=""),"",N332*R332*J332*2),"")</f>
        <v/>
      </c>
    </row>
    <row r="333">
      <c r="A333" t="n">
        <v>332</v>
      </c>
      <c r="G333" s="2" t="n"/>
      <c r="H333" s="2" t="n"/>
      <c r="I333" s="2" t="n"/>
      <c r="J333" s="3">
        <f>IFERROR(IF(OR(G333="",H333=""),"",ABS(G333-H333)),"")</f>
        <v/>
      </c>
      <c r="K333" s="2" t="n"/>
      <c r="L333" s="2" t="n"/>
      <c r="N333" s="4" t="n"/>
      <c r="O333" s="4" t="n"/>
      <c r="P333" s="4" t="n"/>
      <c r="Q333" s="2" t="n"/>
      <c r="S333" s="5">
        <f>IFERROR(IF(OR(N333="",R333="",J333=""),"",N333*R333*J333*2),"")</f>
        <v/>
      </c>
    </row>
    <row r="334">
      <c r="A334" t="n">
        <v>333</v>
      </c>
      <c r="G334" s="2" t="n"/>
      <c r="H334" s="2" t="n"/>
      <c r="I334" s="2" t="n"/>
      <c r="J334" s="3">
        <f>IFERROR(IF(OR(G334="",H334=""),"",ABS(G334-H334)),"")</f>
        <v/>
      </c>
      <c r="K334" s="2" t="n"/>
      <c r="L334" s="2" t="n"/>
      <c r="N334" s="4" t="n"/>
      <c r="O334" s="4" t="n"/>
      <c r="P334" s="4" t="n"/>
      <c r="Q334" s="2" t="n"/>
      <c r="S334" s="5">
        <f>IFERROR(IF(OR(N334="",R334="",J334=""),"",N334*R334*J334*2),"")</f>
        <v/>
      </c>
    </row>
    <row r="335">
      <c r="A335" t="n">
        <v>334</v>
      </c>
      <c r="G335" s="2" t="n"/>
      <c r="H335" s="2" t="n"/>
      <c r="I335" s="2" t="n"/>
      <c r="J335" s="3">
        <f>IFERROR(IF(OR(G335="",H335=""),"",ABS(G335-H335)),"")</f>
        <v/>
      </c>
      <c r="K335" s="2" t="n"/>
      <c r="L335" s="2" t="n"/>
      <c r="N335" s="4" t="n"/>
      <c r="O335" s="4" t="n"/>
      <c r="P335" s="4" t="n"/>
      <c r="Q335" s="2" t="n"/>
      <c r="S335" s="5">
        <f>IFERROR(IF(OR(N335="",R335="",J335=""),"",N335*R335*J335*2),"")</f>
        <v/>
      </c>
    </row>
    <row r="336">
      <c r="A336" t="n">
        <v>335</v>
      </c>
      <c r="G336" s="2" t="n"/>
      <c r="H336" s="2" t="n"/>
      <c r="I336" s="2" t="n"/>
      <c r="J336" s="3">
        <f>IFERROR(IF(OR(G336="",H336=""),"",ABS(G336-H336)),"")</f>
        <v/>
      </c>
      <c r="K336" s="2" t="n"/>
      <c r="L336" s="2" t="n"/>
      <c r="N336" s="4" t="n"/>
      <c r="O336" s="4" t="n"/>
      <c r="P336" s="4" t="n"/>
      <c r="Q336" s="2" t="n"/>
      <c r="S336" s="5">
        <f>IFERROR(IF(OR(N336="",R336="",J336=""),"",N336*R336*J336*2),"")</f>
        <v/>
      </c>
    </row>
    <row r="337">
      <c r="A337" t="n">
        <v>336</v>
      </c>
      <c r="G337" s="2" t="n"/>
      <c r="H337" s="2" t="n"/>
      <c r="I337" s="2" t="n"/>
      <c r="J337" s="3">
        <f>IFERROR(IF(OR(G337="",H337=""),"",ABS(G337-H337)),"")</f>
        <v/>
      </c>
      <c r="K337" s="2" t="n"/>
      <c r="L337" s="2" t="n"/>
      <c r="N337" s="4" t="n"/>
      <c r="O337" s="4" t="n"/>
      <c r="P337" s="4" t="n"/>
      <c r="Q337" s="2" t="n"/>
      <c r="S337" s="5">
        <f>IFERROR(IF(OR(N337="",R337="",J337=""),"",N337*R337*J337*2),"")</f>
        <v/>
      </c>
    </row>
    <row r="338">
      <c r="A338" t="n">
        <v>337</v>
      </c>
      <c r="G338" s="2" t="n"/>
      <c r="H338" s="2" t="n"/>
      <c r="I338" s="2" t="n"/>
      <c r="J338" s="3">
        <f>IFERROR(IF(OR(G338="",H338=""),"",ABS(G338-H338)),"")</f>
        <v/>
      </c>
      <c r="K338" s="2" t="n"/>
      <c r="L338" s="2" t="n"/>
      <c r="N338" s="4" t="n"/>
      <c r="O338" s="4" t="n"/>
      <c r="P338" s="4" t="n"/>
      <c r="Q338" s="2" t="n"/>
      <c r="S338" s="5">
        <f>IFERROR(IF(OR(N338="",R338="",J338=""),"",N338*R338*J338*2),"")</f>
        <v/>
      </c>
    </row>
    <row r="339">
      <c r="A339" t="n">
        <v>338</v>
      </c>
      <c r="G339" s="2" t="n"/>
      <c r="H339" s="2" t="n"/>
      <c r="I339" s="2" t="n"/>
      <c r="J339" s="3">
        <f>IFERROR(IF(OR(G339="",H339=""),"",ABS(G339-H339)),"")</f>
        <v/>
      </c>
      <c r="K339" s="2" t="n"/>
      <c r="L339" s="2" t="n"/>
      <c r="N339" s="4" t="n"/>
      <c r="O339" s="4" t="n"/>
      <c r="P339" s="4" t="n"/>
      <c r="Q339" s="2" t="n"/>
      <c r="S339" s="5">
        <f>IFERROR(IF(OR(N339="",R339="",J339=""),"",N339*R339*J339*2),"")</f>
        <v/>
      </c>
    </row>
    <row r="340">
      <c r="A340" t="n">
        <v>339</v>
      </c>
      <c r="G340" s="2" t="n"/>
      <c r="H340" s="2" t="n"/>
      <c r="I340" s="2" t="n"/>
      <c r="J340" s="3">
        <f>IFERROR(IF(OR(G340="",H340=""),"",ABS(G340-H340)),"")</f>
        <v/>
      </c>
      <c r="K340" s="2" t="n"/>
      <c r="L340" s="2" t="n"/>
      <c r="N340" s="4" t="n"/>
      <c r="O340" s="4" t="n"/>
      <c r="P340" s="4" t="n"/>
      <c r="Q340" s="2" t="n"/>
      <c r="S340" s="5">
        <f>IFERROR(IF(OR(N340="",R340="",J340=""),"",N340*R340*J340*2),"")</f>
        <v/>
      </c>
    </row>
    <row r="341">
      <c r="A341" t="n">
        <v>340</v>
      </c>
      <c r="G341" s="2" t="n"/>
      <c r="H341" s="2" t="n"/>
      <c r="I341" s="2" t="n"/>
      <c r="J341" s="3">
        <f>IFERROR(IF(OR(G341="",H341=""),"",ABS(G341-H341)),"")</f>
        <v/>
      </c>
      <c r="K341" s="2" t="n"/>
      <c r="L341" s="2" t="n"/>
      <c r="N341" s="4" t="n"/>
      <c r="O341" s="4" t="n"/>
      <c r="P341" s="4" t="n"/>
      <c r="Q341" s="2" t="n"/>
      <c r="S341" s="5">
        <f>IFERROR(IF(OR(N341="",R341="",J341=""),"",N341*R341*J341*2),"")</f>
        <v/>
      </c>
    </row>
    <row r="342">
      <c r="A342" t="n">
        <v>341</v>
      </c>
      <c r="G342" s="2" t="n"/>
      <c r="H342" s="2" t="n"/>
      <c r="I342" s="2" t="n"/>
      <c r="J342" s="3">
        <f>IFERROR(IF(OR(G342="",H342=""),"",ABS(G342-H342)),"")</f>
        <v/>
      </c>
      <c r="K342" s="2" t="n"/>
      <c r="L342" s="2" t="n"/>
      <c r="N342" s="4" t="n"/>
      <c r="O342" s="4" t="n"/>
      <c r="P342" s="4" t="n"/>
      <c r="Q342" s="2" t="n"/>
      <c r="S342" s="5">
        <f>IFERROR(IF(OR(N342="",R342="",J342=""),"",N342*R342*J342*2),"")</f>
        <v/>
      </c>
    </row>
    <row r="343">
      <c r="A343" t="n">
        <v>342</v>
      </c>
      <c r="G343" s="2" t="n"/>
      <c r="H343" s="2" t="n"/>
      <c r="I343" s="2" t="n"/>
      <c r="J343" s="3">
        <f>IFERROR(IF(OR(G343="",H343=""),"",ABS(G343-H343)),"")</f>
        <v/>
      </c>
      <c r="K343" s="2" t="n"/>
      <c r="L343" s="2" t="n"/>
      <c r="N343" s="4" t="n"/>
      <c r="O343" s="4" t="n"/>
      <c r="P343" s="4" t="n"/>
      <c r="Q343" s="2" t="n"/>
      <c r="S343" s="5">
        <f>IFERROR(IF(OR(N343="",R343="",J343=""),"",N343*R343*J343*2),"")</f>
        <v/>
      </c>
    </row>
    <row r="344">
      <c r="A344" t="n">
        <v>343</v>
      </c>
      <c r="G344" s="2" t="n"/>
      <c r="H344" s="2" t="n"/>
      <c r="I344" s="2" t="n"/>
      <c r="J344" s="3">
        <f>IFERROR(IF(OR(G344="",H344=""),"",ABS(G344-H344)),"")</f>
        <v/>
      </c>
      <c r="K344" s="2" t="n"/>
      <c r="L344" s="2" t="n"/>
      <c r="N344" s="4" t="n"/>
      <c r="O344" s="4" t="n"/>
      <c r="P344" s="4" t="n"/>
      <c r="Q344" s="2" t="n"/>
      <c r="S344" s="5">
        <f>IFERROR(IF(OR(N344="",R344="",J344=""),"",N344*R344*J344*2),"")</f>
        <v/>
      </c>
    </row>
    <row r="345">
      <c r="A345" t="n">
        <v>344</v>
      </c>
      <c r="G345" s="2" t="n"/>
      <c r="H345" s="2" t="n"/>
      <c r="I345" s="2" t="n"/>
      <c r="J345" s="3">
        <f>IFERROR(IF(OR(G345="",H345=""),"",ABS(G345-H345)),"")</f>
        <v/>
      </c>
      <c r="K345" s="2" t="n"/>
      <c r="L345" s="2" t="n"/>
      <c r="N345" s="4" t="n"/>
      <c r="O345" s="4" t="n"/>
      <c r="P345" s="4" t="n"/>
      <c r="Q345" s="2" t="n"/>
      <c r="S345" s="5">
        <f>IFERROR(IF(OR(N345="",R345="",J345=""),"",N345*R345*J345*2),"")</f>
        <v/>
      </c>
    </row>
    <row r="346">
      <c r="A346" t="n">
        <v>345</v>
      </c>
      <c r="G346" s="2" t="n"/>
      <c r="H346" s="2" t="n"/>
      <c r="I346" s="2" t="n"/>
      <c r="J346" s="3">
        <f>IFERROR(IF(OR(G346="",H346=""),"",ABS(G346-H346)),"")</f>
        <v/>
      </c>
      <c r="K346" s="2" t="n"/>
      <c r="L346" s="2" t="n"/>
      <c r="N346" s="4" t="n"/>
      <c r="O346" s="4" t="n"/>
      <c r="P346" s="4" t="n"/>
      <c r="Q346" s="2" t="n"/>
      <c r="S346" s="5">
        <f>IFERROR(IF(OR(N346="",R346="",J346=""),"",N346*R346*J346*2),"")</f>
        <v/>
      </c>
    </row>
    <row r="347">
      <c r="A347" t="n">
        <v>346</v>
      </c>
      <c r="G347" s="2" t="n"/>
      <c r="H347" s="2" t="n"/>
      <c r="I347" s="2" t="n"/>
      <c r="J347" s="3">
        <f>IFERROR(IF(OR(G347="",H347=""),"",ABS(G347-H347)),"")</f>
        <v/>
      </c>
      <c r="K347" s="2" t="n"/>
      <c r="L347" s="2" t="n"/>
      <c r="N347" s="4" t="n"/>
      <c r="O347" s="4" t="n"/>
      <c r="P347" s="4" t="n"/>
      <c r="Q347" s="2" t="n"/>
      <c r="S347" s="5">
        <f>IFERROR(IF(OR(N347="",R347="",J347=""),"",N347*R347*J347*2),"")</f>
        <v/>
      </c>
    </row>
    <row r="348">
      <c r="A348" t="n">
        <v>347</v>
      </c>
      <c r="G348" s="2" t="n"/>
      <c r="H348" s="2" t="n"/>
      <c r="I348" s="2" t="n"/>
      <c r="J348" s="3">
        <f>IFERROR(IF(OR(G348="",H348=""),"",ABS(G348-H348)),"")</f>
        <v/>
      </c>
      <c r="K348" s="2" t="n"/>
      <c r="L348" s="2" t="n"/>
      <c r="N348" s="4" t="n"/>
      <c r="O348" s="4" t="n"/>
      <c r="P348" s="4" t="n"/>
      <c r="Q348" s="2" t="n"/>
      <c r="S348" s="5">
        <f>IFERROR(IF(OR(N348="",R348="",J348=""),"",N348*R348*J348*2),"")</f>
        <v/>
      </c>
    </row>
    <row r="349">
      <c r="A349" t="n">
        <v>348</v>
      </c>
      <c r="G349" s="2" t="n"/>
      <c r="H349" s="2" t="n"/>
      <c r="I349" s="2" t="n"/>
      <c r="J349" s="3">
        <f>IFERROR(IF(OR(G349="",H349=""),"",ABS(G349-H349)),"")</f>
        <v/>
      </c>
      <c r="K349" s="2" t="n"/>
      <c r="L349" s="2" t="n"/>
      <c r="N349" s="4" t="n"/>
      <c r="O349" s="4" t="n"/>
      <c r="P349" s="4" t="n"/>
      <c r="Q349" s="2" t="n"/>
      <c r="S349" s="5">
        <f>IFERROR(IF(OR(N349="",R349="",J349=""),"",N349*R349*J349*2),"")</f>
        <v/>
      </c>
    </row>
    <row r="350">
      <c r="A350" t="n">
        <v>349</v>
      </c>
      <c r="G350" s="2" t="n"/>
      <c r="H350" s="2" t="n"/>
      <c r="I350" s="2" t="n"/>
      <c r="J350" s="3">
        <f>IFERROR(IF(OR(G350="",H350=""),"",ABS(G350-H350)),"")</f>
        <v/>
      </c>
      <c r="K350" s="2" t="n"/>
      <c r="L350" s="2" t="n"/>
      <c r="N350" s="4" t="n"/>
      <c r="O350" s="4" t="n"/>
      <c r="P350" s="4" t="n"/>
      <c r="Q350" s="2" t="n"/>
      <c r="S350" s="5">
        <f>IFERROR(IF(OR(N350="",R350="",J350=""),"",N350*R350*J350*2),"")</f>
        <v/>
      </c>
    </row>
    <row r="351">
      <c r="A351" t="n">
        <v>350</v>
      </c>
      <c r="G351" s="2" t="n"/>
      <c r="H351" s="2" t="n"/>
      <c r="I351" s="2" t="n"/>
      <c r="J351" s="3">
        <f>IFERROR(IF(OR(G351="",H351=""),"",ABS(G351-H351)),"")</f>
        <v/>
      </c>
      <c r="K351" s="2" t="n"/>
      <c r="L351" s="2" t="n"/>
      <c r="N351" s="4" t="n"/>
      <c r="O351" s="4" t="n"/>
      <c r="P351" s="4" t="n"/>
      <c r="Q351" s="2" t="n"/>
      <c r="S351" s="5">
        <f>IFERROR(IF(OR(N351="",R351="",J351=""),"",N351*R351*J351*2),"")</f>
        <v/>
      </c>
    </row>
    <row r="352">
      <c r="A352" t="n">
        <v>351</v>
      </c>
      <c r="G352" s="2" t="n"/>
      <c r="H352" s="2" t="n"/>
      <c r="I352" s="2" t="n"/>
      <c r="J352" s="3">
        <f>IFERROR(IF(OR(G352="",H352=""),"",ABS(G352-H352)),"")</f>
        <v/>
      </c>
      <c r="K352" s="2" t="n"/>
      <c r="L352" s="2" t="n"/>
      <c r="N352" s="4" t="n"/>
      <c r="O352" s="4" t="n"/>
      <c r="P352" s="4" t="n"/>
      <c r="Q352" s="2" t="n"/>
      <c r="S352" s="5">
        <f>IFERROR(IF(OR(N352="",R352="",J352=""),"",N352*R352*J352*2),"")</f>
        <v/>
      </c>
    </row>
    <row r="353">
      <c r="A353" t="n">
        <v>352</v>
      </c>
      <c r="G353" s="2" t="n"/>
      <c r="H353" s="2" t="n"/>
      <c r="I353" s="2" t="n"/>
      <c r="J353" s="3">
        <f>IFERROR(IF(OR(G353="",H353=""),"",ABS(G353-H353)),"")</f>
        <v/>
      </c>
      <c r="K353" s="2" t="n"/>
      <c r="L353" s="2" t="n"/>
      <c r="N353" s="4" t="n"/>
      <c r="O353" s="4" t="n"/>
      <c r="P353" s="4" t="n"/>
      <c r="Q353" s="2" t="n"/>
      <c r="S353" s="5">
        <f>IFERROR(IF(OR(N353="",R353="",J353=""),"",N353*R353*J353*2),"")</f>
        <v/>
      </c>
    </row>
    <row r="354">
      <c r="A354" t="n">
        <v>353</v>
      </c>
      <c r="G354" s="2" t="n"/>
      <c r="H354" s="2" t="n"/>
      <c r="I354" s="2" t="n"/>
      <c r="J354" s="3">
        <f>IFERROR(IF(OR(G354="",H354=""),"",ABS(G354-H354)),"")</f>
        <v/>
      </c>
      <c r="K354" s="2" t="n"/>
      <c r="L354" s="2" t="n"/>
      <c r="N354" s="4" t="n"/>
      <c r="O354" s="4" t="n"/>
      <c r="P354" s="4" t="n"/>
      <c r="Q354" s="2" t="n"/>
      <c r="S354" s="5">
        <f>IFERROR(IF(OR(N354="",R354="",J354=""),"",N354*R354*J354*2),"")</f>
        <v/>
      </c>
    </row>
    <row r="355">
      <c r="A355" t="n">
        <v>354</v>
      </c>
      <c r="G355" s="2" t="n"/>
      <c r="H355" s="2" t="n"/>
      <c r="I355" s="2" t="n"/>
      <c r="J355" s="3">
        <f>IFERROR(IF(OR(G355="",H355=""),"",ABS(G355-H355)),"")</f>
        <v/>
      </c>
      <c r="K355" s="2" t="n"/>
      <c r="L355" s="2" t="n"/>
      <c r="N355" s="4" t="n"/>
      <c r="O355" s="4" t="n"/>
      <c r="P355" s="4" t="n"/>
      <c r="Q355" s="2" t="n"/>
      <c r="S355" s="5">
        <f>IFERROR(IF(OR(N355="",R355="",J355=""),"",N355*R355*J355*2),"")</f>
        <v/>
      </c>
    </row>
    <row r="356">
      <c r="A356" t="n">
        <v>355</v>
      </c>
      <c r="G356" s="2" t="n"/>
      <c r="H356" s="2" t="n"/>
      <c r="I356" s="2" t="n"/>
      <c r="J356" s="3">
        <f>IFERROR(IF(OR(G356="",H356=""),"",ABS(G356-H356)),"")</f>
        <v/>
      </c>
      <c r="K356" s="2" t="n"/>
      <c r="L356" s="2" t="n"/>
      <c r="N356" s="4" t="n"/>
      <c r="O356" s="4" t="n"/>
      <c r="P356" s="4" t="n"/>
      <c r="Q356" s="2" t="n"/>
      <c r="S356" s="5">
        <f>IFERROR(IF(OR(N356="",R356="",J356=""),"",N356*R356*J356*2),"")</f>
        <v/>
      </c>
    </row>
    <row r="357">
      <c r="A357" t="n">
        <v>356</v>
      </c>
      <c r="G357" s="2" t="n"/>
      <c r="H357" s="2" t="n"/>
      <c r="I357" s="2" t="n"/>
      <c r="J357" s="3">
        <f>IFERROR(IF(OR(G357="",H357=""),"",ABS(G357-H357)),"")</f>
        <v/>
      </c>
      <c r="K357" s="2" t="n"/>
      <c r="L357" s="2" t="n"/>
      <c r="N357" s="4" t="n"/>
      <c r="O357" s="4" t="n"/>
      <c r="P357" s="4" t="n"/>
      <c r="Q357" s="2" t="n"/>
      <c r="S357" s="5">
        <f>IFERROR(IF(OR(N357="",R357="",J357=""),"",N357*R357*J357*2),"")</f>
        <v/>
      </c>
    </row>
    <row r="358">
      <c r="A358" t="n">
        <v>357</v>
      </c>
      <c r="G358" s="2" t="n"/>
      <c r="H358" s="2" t="n"/>
      <c r="I358" s="2" t="n"/>
      <c r="J358" s="3">
        <f>IFERROR(IF(OR(G358="",H358=""),"",ABS(G358-H358)),"")</f>
        <v/>
      </c>
      <c r="K358" s="2" t="n"/>
      <c r="L358" s="2" t="n"/>
      <c r="N358" s="4" t="n"/>
      <c r="O358" s="4" t="n"/>
      <c r="P358" s="4" t="n"/>
      <c r="Q358" s="2" t="n"/>
      <c r="S358" s="5">
        <f>IFERROR(IF(OR(N358="",R358="",J358=""),"",N358*R358*J358*2),"")</f>
        <v/>
      </c>
    </row>
    <row r="359">
      <c r="A359" t="n">
        <v>358</v>
      </c>
      <c r="G359" s="2" t="n"/>
      <c r="H359" s="2" t="n"/>
      <c r="I359" s="2" t="n"/>
      <c r="J359" s="3">
        <f>IFERROR(IF(OR(G359="",H359=""),"",ABS(G359-H359)),"")</f>
        <v/>
      </c>
      <c r="K359" s="2" t="n"/>
      <c r="L359" s="2" t="n"/>
      <c r="N359" s="4" t="n"/>
      <c r="O359" s="4" t="n"/>
      <c r="P359" s="4" t="n"/>
      <c r="Q359" s="2" t="n"/>
      <c r="S359" s="5">
        <f>IFERROR(IF(OR(N359="",R359="",J359=""),"",N359*R359*J359*2),"")</f>
        <v/>
      </c>
    </row>
    <row r="360">
      <c r="A360" t="n">
        <v>359</v>
      </c>
      <c r="G360" s="2" t="n"/>
      <c r="H360" s="2" t="n"/>
      <c r="I360" s="2" t="n"/>
      <c r="J360" s="3">
        <f>IFERROR(IF(OR(G360="",H360=""),"",ABS(G360-H360)),"")</f>
        <v/>
      </c>
      <c r="K360" s="2" t="n"/>
      <c r="L360" s="2" t="n"/>
      <c r="N360" s="4" t="n"/>
      <c r="O360" s="4" t="n"/>
      <c r="P360" s="4" t="n"/>
      <c r="Q360" s="2" t="n"/>
      <c r="S360" s="5">
        <f>IFERROR(IF(OR(N360="",R360="",J360=""),"",N360*R360*J360*2),"")</f>
        <v/>
      </c>
    </row>
    <row r="361">
      <c r="A361" t="n">
        <v>360</v>
      </c>
      <c r="G361" s="2" t="n"/>
      <c r="H361" s="2" t="n"/>
      <c r="I361" s="2" t="n"/>
      <c r="J361" s="3">
        <f>IFERROR(IF(OR(G361="",H361=""),"",ABS(G361-H361)),"")</f>
        <v/>
      </c>
      <c r="K361" s="2" t="n"/>
      <c r="L361" s="2" t="n"/>
      <c r="N361" s="4" t="n"/>
      <c r="O361" s="4" t="n"/>
      <c r="P361" s="4" t="n"/>
      <c r="Q361" s="2" t="n"/>
      <c r="S361" s="5">
        <f>IFERROR(IF(OR(N361="",R361="",J361=""),"",N361*R361*J361*2),"")</f>
        <v/>
      </c>
    </row>
    <row r="362">
      <c r="A362" t="n">
        <v>361</v>
      </c>
      <c r="G362" s="2" t="n"/>
      <c r="H362" s="2" t="n"/>
      <c r="I362" s="2" t="n"/>
      <c r="J362" s="3">
        <f>IFERROR(IF(OR(G362="",H362=""),"",ABS(G362-H362)),"")</f>
        <v/>
      </c>
      <c r="K362" s="2" t="n"/>
      <c r="L362" s="2" t="n"/>
      <c r="N362" s="4" t="n"/>
      <c r="O362" s="4" t="n"/>
      <c r="P362" s="4" t="n"/>
      <c r="Q362" s="2" t="n"/>
      <c r="S362" s="5">
        <f>IFERROR(IF(OR(N362="",R362="",J362=""),"",N362*R362*J362*2),"")</f>
        <v/>
      </c>
    </row>
    <row r="363">
      <c r="A363" t="n">
        <v>362</v>
      </c>
      <c r="G363" s="2" t="n"/>
      <c r="H363" s="2" t="n"/>
      <c r="I363" s="2" t="n"/>
      <c r="J363" s="3">
        <f>IFERROR(IF(OR(G363="",H363=""),"",ABS(G363-H363)),"")</f>
        <v/>
      </c>
      <c r="K363" s="2" t="n"/>
      <c r="L363" s="2" t="n"/>
      <c r="N363" s="4" t="n"/>
      <c r="O363" s="4" t="n"/>
      <c r="P363" s="4" t="n"/>
      <c r="Q363" s="2" t="n"/>
      <c r="S363" s="5">
        <f>IFERROR(IF(OR(N363="",R363="",J363=""),"",N363*R363*J363*2),"")</f>
        <v/>
      </c>
    </row>
    <row r="364">
      <c r="A364" t="n">
        <v>363</v>
      </c>
      <c r="G364" s="2" t="n"/>
      <c r="H364" s="2" t="n"/>
      <c r="I364" s="2" t="n"/>
      <c r="J364" s="3">
        <f>IFERROR(IF(OR(G364="",H364=""),"",ABS(G364-H364)),"")</f>
        <v/>
      </c>
      <c r="K364" s="2" t="n"/>
      <c r="L364" s="2" t="n"/>
      <c r="N364" s="4" t="n"/>
      <c r="O364" s="4" t="n"/>
      <c r="P364" s="4" t="n"/>
      <c r="Q364" s="2" t="n"/>
      <c r="S364" s="5">
        <f>IFERROR(IF(OR(N364="",R364="",J364=""),"",N364*R364*J364*2),"")</f>
        <v/>
      </c>
    </row>
    <row r="365">
      <c r="A365" t="n">
        <v>364</v>
      </c>
      <c r="G365" s="2" t="n"/>
      <c r="H365" s="2" t="n"/>
      <c r="I365" s="2" t="n"/>
      <c r="J365" s="3">
        <f>IFERROR(IF(OR(G365="",H365=""),"",ABS(G365-H365)),"")</f>
        <v/>
      </c>
      <c r="K365" s="2" t="n"/>
      <c r="L365" s="2" t="n"/>
      <c r="N365" s="4" t="n"/>
      <c r="O365" s="4" t="n"/>
      <c r="P365" s="4" t="n"/>
      <c r="Q365" s="2" t="n"/>
      <c r="S365" s="5">
        <f>IFERROR(IF(OR(N365="",R365="",J365=""),"",N365*R365*J365*2),"")</f>
        <v/>
      </c>
    </row>
    <row r="366">
      <c r="A366" t="n">
        <v>365</v>
      </c>
      <c r="G366" s="2" t="n"/>
      <c r="H366" s="2" t="n"/>
      <c r="I366" s="2" t="n"/>
      <c r="J366" s="3">
        <f>IFERROR(IF(OR(G366="",H366=""),"",ABS(G366-H366)),"")</f>
        <v/>
      </c>
      <c r="K366" s="2" t="n"/>
      <c r="L366" s="2" t="n"/>
      <c r="N366" s="4" t="n"/>
      <c r="O366" s="4" t="n"/>
      <c r="P366" s="4" t="n"/>
      <c r="Q366" s="2" t="n"/>
      <c r="S366" s="5">
        <f>IFERROR(IF(OR(N366="",R366="",J366=""),"",N366*R366*J366*2),"")</f>
        <v/>
      </c>
    </row>
    <row r="367">
      <c r="A367" t="n">
        <v>366</v>
      </c>
      <c r="G367" s="2" t="n"/>
      <c r="H367" s="2" t="n"/>
      <c r="I367" s="2" t="n"/>
      <c r="J367" s="3">
        <f>IFERROR(IF(OR(G367="",H367=""),"",ABS(G367-H367)),"")</f>
        <v/>
      </c>
      <c r="K367" s="2" t="n"/>
      <c r="L367" s="2" t="n"/>
      <c r="N367" s="4" t="n"/>
      <c r="O367" s="4" t="n"/>
      <c r="P367" s="4" t="n"/>
      <c r="Q367" s="2" t="n"/>
      <c r="S367" s="5">
        <f>IFERROR(IF(OR(N367="",R367="",J367=""),"",N367*R367*J367*2),"")</f>
        <v/>
      </c>
    </row>
    <row r="368">
      <c r="A368" t="n">
        <v>367</v>
      </c>
      <c r="G368" s="2" t="n"/>
      <c r="H368" s="2" t="n"/>
      <c r="I368" s="2" t="n"/>
      <c r="J368" s="3">
        <f>IFERROR(IF(OR(G368="",H368=""),"",ABS(G368-H368)),"")</f>
        <v/>
      </c>
      <c r="K368" s="2" t="n"/>
      <c r="L368" s="2" t="n"/>
      <c r="N368" s="4" t="n"/>
      <c r="O368" s="4" t="n"/>
      <c r="P368" s="4" t="n"/>
      <c r="Q368" s="2" t="n"/>
      <c r="S368" s="5">
        <f>IFERROR(IF(OR(N368="",R368="",J368=""),"",N368*R368*J368*2),"")</f>
        <v/>
      </c>
    </row>
    <row r="369">
      <c r="A369" t="n">
        <v>368</v>
      </c>
      <c r="G369" s="2" t="n"/>
      <c r="H369" s="2" t="n"/>
      <c r="I369" s="2" t="n"/>
      <c r="J369" s="3">
        <f>IFERROR(IF(OR(G369="",H369=""),"",ABS(G369-H369)),"")</f>
        <v/>
      </c>
      <c r="K369" s="2" t="n"/>
      <c r="L369" s="2" t="n"/>
      <c r="N369" s="4" t="n"/>
      <c r="O369" s="4" t="n"/>
      <c r="P369" s="4" t="n"/>
      <c r="Q369" s="2" t="n"/>
      <c r="S369" s="5">
        <f>IFERROR(IF(OR(N369="",R369="",J369=""),"",N369*R369*J369*2),"")</f>
        <v/>
      </c>
    </row>
    <row r="370">
      <c r="A370" t="n">
        <v>369</v>
      </c>
      <c r="G370" s="2" t="n"/>
      <c r="H370" s="2" t="n"/>
      <c r="I370" s="2" t="n"/>
      <c r="J370" s="3">
        <f>IFERROR(IF(OR(G370="",H370=""),"",ABS(G370-H370)),"")</f>
        <v/>
      </c>
      <c r="K370" s="2" t="n"/>
      <c r="L370" s="2" t="n"/>
      <c r="N370" s="4" t="n"/>
      <c r="O370" s="4" t="n"/>
      <c r="P370" s="4" t="n"/>
      <c r="Q370" s="2" t="n"/>
      <c r="S370" s="5">
        <f>IFERROR(IF(OR(N370="",R370="",J370=""),"",N370*R370*J370*2),"")</f>
        <v/>
      </c>
    </row>
    <row r="371">
      <c r="A371" t="n">
        <v>370</v>
      </c>
      <c r="G371" s="2" t="n"/>
      <c r="H371" s="2" t="n"/>
      <c r="I371" s="2" t="n"/>
      <c r="J371" s="3">
        <f>IFERROR(IF(OR(G371="",H371=""),"",ABS(G371-H371)),"")</f>
        <v/>
      </c>
      <c r="K371" s="2" t="n"/>
      <c r="L371" s="2" t="n"/>
      <c r="N371" s="4" t="n"/>
      <c r="O371" s="4" t="n"/>
      <c r="P371" s="4" t="n"/>
      <c r="Q371" s="2" t="n"/>
      <c r="S371" s="5">
        <f>IFERROR(IF(OR(N371="",R371="",J371=""),"",N371*R371*J371*2),"")</f>
        <v/>
      </c>
    </row>
    <row r="372">
      <c r="A372" t="n">
        <v>371</v>
      </c>
      <c r="G372" s="2" t="n"/>
      <c r="H372" s="2" t="n"/>
      <c r="I372" s="2" t="n"/>
      <c r="J372" s="3">
        <f>IFERROR(IF(OR(G372="",H372=""),"",ABS(G372-H372)),"")</f>
        <v/>
      </c>
      <c r="K372" s="2" t="n"/>
      <c r="L372" s="2" t="n"/>
      <c r="N372" s="4" t="n"/>
      <c r="O372" s="4" t="n"/>
      <c r="P372" s="4" t="n"/>
      <c r="Q372" s="2" t="n"/>
      <c r="S372" s="5">
        <f>IFERROR(IF(OR(N372="",R372="",J372=""),"",N372*R372*J372*2),"")</f>
        <v/>
      </c>
    </row>
    <row r="373">
      <c r="A373" t="n">
        <v>372</v>
      </c>
      <c r="G373" s="2" t="n"/>
      <c r="H373" s="2" t="n"/>
      <c r="I373" s="2" t="n"/>
      <c r="J373" s="3">
        <f>IFERROR(IF(OR(G373="",H373=""),"",ABS(G373-H373)),"")</f>
        <v/>
      </c>
      <c r="K373" s="2" t="n"/>
      <c r="L373" s="2" t="n"/>
      <c r="N373" s="4" t="n"/>
      <c r="O373" s="4" t="n"/>
      <c r="P373" s="4" t="n"/>
      <c r="Q373" s="2" t="n"/>
      <c r="S373" s="5">
        <f>IFERROR(IF(OR(N373="",R373="",J373=""),"",N373*R373*J373*2),"")</f>
        <v/>
      </c>
    </row>
    <row r="374">
      <c r="A374" t="n">
        <v>373</v>
      </c>
      <c r="G374" s="2" t="n"/>
      <c r="H374" s="2" t="n"/>
      <c r="I374" s="2" t="n"/>
      <c r="J374" s="3">
        <f>IFERROR(IF(OR(G374="",H374=""),"",ABS(G374-H374)),"")</f>
        <v/>
      </c>
      <c r="K374" s="2" t="n"/>
      <c r="L374" s="2" t="n"/>
      <c r="N374" s="4" t="n"/>
      <c r="O374" s="4" t="n"/>
      <c r="P374" s="4" t="n"/>
      <c r="Q374" s="2" t="n"/>
      <c r="S374" s="5">
        <f>IFERROR(IF(OR(N374="",R374="",J374=""),"",N374*R374*J374*2),"")</f>
        <v/>
      </c>
    </row>
    <row r="375">
      <c r="A375" t="n">
        <v>374</v>
      </c>
      <c r="G375" s="2" t="n"/>
      <c r="H375" s="2" t="n"/>
      <c r="I375" s="2" t="n"/>
      <c r="J375" s="3">
        <f>IFERROR(IF(OR(G375="",H375=""),"",ABS(G375-H375)),"")</f>
        <v/>
      </c>
      <c r="K375" s="2" t="n"/>
      <c r="L375" s="2" t="n"/>
      <c r="N375" s="4" t="n"/>
      <c r="O375" s="4" t="n"/>
      <c r="P375" s="4" t="n"/>
      <c r="Q375" s="2" t="n"/>
      <c r="S375" s="5">
        <f>IFERROR(IF(OR(N375="",R375="",J375=""),"",N375*R375*J375*2),"")</f>
        <v/>
      </c>
    </row>
    <row r="376">
      <c r="A376" t="n">
        <v>375</v>
      </c>
      <c r="G376" s="2" t="n"/>
      <c r="H376" s="2" t="n"/>
      <c r="I376" s="2" t="n"/>
      <c r="J376" s="3">
        <f>IFERROR(IF(OR(G376="",H376=""),"",ABS(G376-H376)),"")</f>
        <v/>
      </c>
      <c r="K376" s="2" t="n"/>
      <c r="L376" s="2" t="n"/>
      <c r="N376" s="4" t="n"/>
      <c r="O376" s="4" t="n"/>
      <c r="P376" s="4" t="n"/>
      <c r="Q376" s="2" t="n"/>
      <c r="S376" s="5">
        <f>IFERROR(IF(OR(N376="",R376="",J376=""),"",N376*R376*J376*2),"")</f>
        <v/>
      </c>
    </row>
    <row r="377">
      <c r="A377" t="n">
        <v>376</v>
      </c>
      <c r="G377" s="2" t="n"/>
      <c r="H377" s="2" t="n"/>
      <c r="I377" s="2" t="n"/>
      <c r="J377" s="3">
        <f>IFERROR(IF(OR(G377="",H377=""),"",ABS(G377-H377)),"")</f>
        <v/>
      </c>
      <c r="K377" s="2" t="n"/>
      <c r="L377" s="2" t="n"/>
      <c r="N377" s="4" t="n"/>
      <c r="O377" s="4" t="n"/>
      <c r="P377" s="4" t="n"/>
      <c r="Q377" s="2" t="n"/>
      <c r="S377" s="5">
        <f>IFERROR(IF(OR(N377="",R377="",J377=""),"",N377*R377*J377*2),"")</f>
        <v/>
      </c>
    </row>
    <row r="378">
      <c r="A378" t="n">
        <v>377</v>
      </c>
      <c r="G378" s="2" t="n"/>
      <c r="H378" s="2" t="n"/>
      <c r="I378" s="2" t="n"/>
      <c r="J378" s="3">
        <f>IFERROR(IF(OR(G378="",H378=""),"",ABS(G378-H378)),"")</f>
        <v/>
      </c>
      <c r="K378" s="2" t="n"/>
      <c r="L378" s="2" t="n"/>
      <c r="N378" s="4" t="n"/>
      <c r="O378" s="4" t="n"/>
      <c r="P378" s="4" t="n"/>
      <c r="Q378" s="2" t="n"/>
      <c r="S378" s="5">
        <f>IFERROR(IF(OR(N378="",R378="",J378=""),"",N378*R378*J378*2),"")</f>
        <v/>
      </c>
    </row>
    <row r="379">
      <c r="A379" t="n">
        <v>378</v>
      </c>
      <c r="G379" s="2" t="n"/>
      <c r="H379" s="2" t="n"/>
      <c r="I379" s="2" t="n"/>
      <c r="J379" s="3">
        <f>IFERROR(IF(OR(G379="",H379=""),"",ABS(G379-H379)),"")</f>
        <v/>
      </c>
      <c r="K379" s="2" t="n"/>
      <c r="L379" s="2" t="n"/>
      <c r="N379" s="4" t="n"/>
      <c r="O379" s="4" t="n"/>
      <c r="P379" s="4" t="n"/>
      <c r="Q379" s="2" t="n"/>
      <c r="S379" s="5">
        <f>IFERROR(IF(OR(N379="",R379="",J379=""),"",N379*R379*J379*2),"")</f>
        <v/>
      </c>
    </row>
    <row r="380">
      <c r="A380" t="n">
        <v>379</v>
      </c>
      <c r="G380" s="2" t="n"/>
      <c r="H380" s="2" t="n"/>
      <c r="I380" s="2" t="n"/>
      <c r="J380" s="3">
        <f>IFERROR(IF(OR(G380="",H380=""),"",ABS(G380-H380)),"")</f>
        <v/>
      </c>
      <c r="K380" s="2" t="n"/>
      <c r="L380" s="2" t="n"/>
      <c r="N380" s="4" t="n"/>
      <c r="O380" s="4" t="n"/>
      <c r="P380" s="4" t="n"/>
      <c r="Q380" s="2" t="n"/>
      <c r="S380" s="5">
        <f>IFERROR(IF(OR(N380="",R380="",J380=""),"",N380*R380*J380*2),"")</f>
        <v/>
      </c>
    </row>
    <row r="381">
      <c r="A381" t="n">
        <v>380</v>
      </c>
      <c r="G381" s="2" t="n"/>
      <c r="H381" s="2" t="n"/>
      <c r="I381" s="2" t="n"/>
      <c r="J381" s="3">
        <f>IFERROR(IF(OR(G381="",H381=""),"",ABS(G381-H381)),"")</f>
        <v/>
      </c>
      <c r="K381" s="2" t="n"/>
      <c r="L381" s="2" t="n"/>
      <c r="N381" s="4" t="n"/>
      <c r="O381" s="4" t="n"/>
      <c r="P381" s="4" t="n"/>
      <c r="Q381" s="2" t="n"/>
      <c r="S381" s="5">
        <f>IFERROR(IF(OR(N381="",R381="",J381=""),"",N381*R381*J381*2),"")</f>
        <v/>
      </c>
    </row>
    <row r="382">
      <c r="A382" t="n">
        <v>381</v>
      </c>
      <c r="G382" s="2" t="n"/>
      <c r="H382" s="2" t="n"/>
      <c r="I382" s="2" t="n"/>
      <c r="J382" s="3">
        <f>IFERROR(IF(OR(G382="",H382=""),"",ABS(G382-H382)),"")</f>
        <v/>
      </c>
      <c r="K382" s="2" t="n"/>
      <c r="L382" s="2" t="n"/>
      <c r="N382" s="4" t="n"/>
      <c r="O382" s="4" t="n"/>
      <c r="P382" s="4" t="n"/>
      <c r="Q382" s="2" t="n"/>
      <c r="S382" s="5">
        <f>IFERROR(IF(OR(N382="",R382="",J382=""),"",N382*R382*J382*2),"")</f>
        <v/>
      </c>
    </row>
    <row r="383">
      <c r="A383" t="n">
        <v>382</v>
      </c>
      <c r="G383" s="2" t="n"/>
      <c r="H383" s="2" t="n"/>
      <c r="I383" s="2" t="n"/>
      <c r="J383" s="3">
        <f>IFERROR(IF(OR(G383="",H383=""),"",ABS(G383-H383)),"")</f>
        <v/>
      </c>
      <c r="K383" s="2" t="n"/>
      <c r="L383" s="2" t="n"/>
      <c r="N383" s="4" t="n"/>
      <c r="O383" s="4" t="n"/>
      <c r="P383" s="4" t="n"/>
      <c r="Q383" s="2" t="n"/>
      <c r="S383" s="5">
        <f>IFERROR(IF(OR(N383="",R383="",J383=""),"",N383*R383*J383*2),"")</f>
        <v/>
      </c>
    </row>
    <row r="384">
      <c r="A384" t="n">
        <v>383</v>
      </c>
      <c r="G384" s="2" t="n"/>
      <c r="H384" s="2" t="n"/>
      <c r="I384" s="2" t="n"/>
      <c r="J384" s="3">
        <f>IFERROR(IF(OR(G384="",H384=""),"",ABS(G384-H384)),"")</f>
        <v/>
      </c>
      <c r="K384" s="2" t="n"/>
      <c r="L384" s="2" t="n"/>
      <c r="N384" s="4" t="n"/>
      <c r="O384" s="4" t="n"/>
      <c r="P384" s="4" t="n"/>
      <c r="Q384" s="2" t="n"/>
      <c r="S384" s="5">
        <f>IFERROR(IF(OR(N384="",R384="",J384=""),"",N384*R384*J384*2),"")</f>
        <v/>
      </c>
    </row>
    <row r="385">
      <c r="A385" t="n">
        <v>384</v>
      </c>
      <c r="G385" s="2" t="n"/>
      <c r="H385" s="2" t="n"/>
      <c r="I385" s="2" t="n"/>
      <c r="J385" s="3">
        <f>IFERROR(IF(OR(G385="",H385=""),"",ABS(G385-H385)),"")</f>
        <v/>
      </c>
      <c r="K385" s="2" t="n"/>
      <c r="L385" s="2" t="n"/>
      <c r="N385" s="4" t="n"/>
      <c r="O385" s="4" t="n"/>
      <c r="P385" s="4" t="n"/>
      <c r="Q385" s="2" t="n"/>
      <c r="S385" s="5">
        <f>IFERROR(IF(OR(N385="",R385="",J385=""),"",N385*R385*J385*2),"")</f>
        <v/>
      </c>
    </row>
    <row r="386">
      <c r="A386" t="n">
        <v>385</v>
      </c>
      <c r="G386" s="2" t="n"/>
      <c r="H386" s="2" t="n"/>
      <c r="I386" s="2" t="n"/>
      <c r="J386" s="3">
        <f>IFERROR(IF(OR(G386="",H386=""),"",ABS(G386-H386)),"")</f>
        <v/>
      </c>
      <c r="K386" s="2" t="n"/>
      <c r="L386" s="2" t="n"/>
      <c r="N386" s="4" t="n"/>
      <c r="O386" s="4" t="n"/>
      <c r="P386" s="4" t="n"/>
      <c r="Q386" s="2" t="n"/>
      <c r="S386" s="5">
        <f>IFERROR(IF(OR(N386="",R386="",J386=""),"",N386*R386*J386*2),"")</f>
        <v/>
      </c>
    </row>
    <row r="387">
      <c r="A387" t="n">
        <v>386</v>
      </c>
      <c r="G387" s="2" t="n"/>
      <c r="H387" s="2" t="n"/>
      <c r="I387" s="2" t="n"/>
      <c r="J387" s="3">
        <f>IFERROR(IF(OR(G387="",H387=""),"",ABS(G387-H387)),"")</f>
        <v/>
      </c>
      <c r="K387" s="2" t="n"/>
      <c r="L387" s="2" t="n"/>
      <c r="N387" s="4" t="n"/>
      <c r="O387" s="4" t="n"/>
      <c r="P387" s="4" t="n"/>
      <c r="Q387" s="2" t="n"/>
      <c r="S387" s="5">
        <f>IFERROR(IF(OR(N387="",R387="",J387=""),"",N387*R387*J387*2),"")</f>
        <v/>
      </c>
    </row>
    <row r="388">
      <c r="A388" t="n">
        <v>387</v>
      </c>
      <c r="G388" s="2" t="n"/>
      <c r="H388" s="2" t="n"/>
      <c r="I388" s="2" t="n"/>
      <c r="J388" s="3">
        <f>IFERROR(IF(OR(G388="",H388=""),"",ABS(G388-H388)),"")</f>
        <v/>
      </c>
      <c r="K388" s="2" t="n"/>
      <c r="L388" s="2" t="n"/>
      <c r="N388" s="4" t="n"/>
      <c r="O388" s="4" t="n"/>
      <c r="P388" s="4" t="n"/>
      <c r="Q388" s="2" t="n"/>
      <c r="S388" s="5">
        <f>IFERROR(IF(OR(N388="",R388="",J388=""),"",N388*R388*J388*2),"")</f>
        <v/>
      </c>
    </row>
    <row r="389">
      <c r="A389" t="n">
        <v>388</v>
      </c>
      <c r="G389" s="2" t="n"/>
      <c r="H389" s="2" t="n"/>
      <c r="I389" s="2" t="n"/>
      <c r="J389" s="3">
        <f>IFERROR(IF(OR(G389="",H389=""),"",ABS(G389-H389)),"")</f>
        <v/>
      </c>
      <c r="K389" s="2" t="n"/>
      <c r="L389" s="2" t="n"/>
      <c r="N389" s="4" t="n"/>
      <c r="O389" s="4" t="n"/>
      <c r="P389" s="4" t="n"/>
      <c r="Q389" s="2" t="n"/>
      <c r="S389" s="5">
        <f>IFERROR(IF(OR(N389="",R389="",J389=""),"",N389*R389*J389*2),"")</f>
        <v/>
      </c>
    </row>
    <row r="390">
      <c r="A390" t="n">
        <v>389</v>
      </c>
      <c r="G390" s="2" t="n"/>
      <c r="H390" s="2" t="n"/>
      <c r="I390" s="2" t="n"/>
      <c r="J390" s="3">
        <f>IFERROR(IF(OR(G390="",H390=""),"",ABS(G390-H390)),"")</f>
        <v/>
      </c>
      <c r="K390" s="2" t="n"/>
      <c r="L390" s="2" t="n"/>
      <c r="N390" s="4" t="n"/>
      <c r="O390" s="4" t="n"/>
      <c r="P390" s="4" t="n"/>
      <c r="Q390" s="2" t="n"/>
      <c r="S390" s="5">
        <f>IFERROR(IF(OR(N390="",R390="",J390=""),"",N390*R390*J390*2),"")</f>
        <v/>
      </c>
    </row>
    <row r="391">
      <c r="A391" t="n">
        <v>390</v>
      </c>
      <c r="G391" s="2" t="n"/>
      <c r="H391" s="2" t="n"/>
      <c r="I391" s="2" t="n"/>
      <c r="J391" s="3">
        <f>IFERROR(IF(OR(G391="",H391=""),"",ABS(G391-H391)),"")</f>
        <v/>
      </c>
      <c r="K391" s="2" t="n"/>
      <c r="L391" s="2" t="n"/>
      <c r="N391" s="4" t="n"/>
      <c r="O391" s="4" t="n"/>
      <c r="P391" s="4" t="n"/>
      <c r="Q391" s="2" t="n"/>
      <c r="S391" s="5">
        <f>IFERROR(IF(OR(N391="",R391="",J391=""),"",N391*R391*J391*2),"")</f>
        <v/>
      </c>
    </row>
    <row r="392">
      <c r="A392" t="n">
        <v>391</v>
      </c>
      <c r="G392" s="2" t="n"/>
      <c r="H392" s="2" t="n"/>
      <c r="I392" s="2" t="n"/>
      <c r="J392" s="3">
        <f>IFERROR(IF(OR(G392="",H392=""),"",ABS(G392-H392)),"")</f>
        <v/>
      </c>
      <c r="K392" s="2" t="n"/>
      <c r="L392" s="2" t="n"/>
      <c r="N392" s="4" t="n"/>
      <c r="O392" s="4" t="n"/>
      <c r="P392" s="4" t="n"/>
      <c r="Q392" s="2" t="n"/>
      <c r="S392" s="5">
        <f>IFERROR(IF(OR(N392="",R392="",J392=""),"",N392*R392*J392*2),"")</f>
        <v/>
      </c>
    </row>
    <row r="393">
      <c r="A393" t="n">
        <v>392</v>
      </c>
      <c r="G393" s="2" t="n"/>
      <c r="H393" s="2" t="n"/>
      <c r="I393" s="2" t="n"/>
      <c r="J393" s="3">
        <f>IFERROR(IF(OR(G393="",H393=""),"",ABS(G393-H393)),"")</f>
        <v/>
      </c>
      <c r="K393" s="2" t="n"/>
      <c r="L393" s="2" t="n"/>
      <c r="N393" s="4" t="n"/>
      <c r="O393" s="4" t="n"/>
      <c r="P393" s="4" t="n"/>
      <c r="Q393" s="2" t="n"/>
      <c r="S393" s="5">
        <f>IFERROR(IF(OR(N393="",R393="",J393=""),"",N393*R393*J393*2),"")</f>
        <v/>
      </c>
    </row>
    <row r="394">
      <c r="A394" t="n">
        <v>393</v>
      </c>
      <c r="G394" s="2" t="n"/>
      <c r="H394" s="2" t="n"/>
      <c r="I394" s="2" t="n"/>
      <c r="J394" s="3">
        <f>IFERROR(IF(OR(G394="",H394=""),"",ABS(G394-H394)),"")</f>
        <v/>
      </c>
      <c r="K394" s="2" t="n"/>
      <c r="L394" s="2" t="n"/>
      <c r="N394" s="4" t="n"/>
      <c r="O394" s="4" t="n"/>
      <c r="P394" s="4" t="n"/>
      <c r="Q394" s="2" t="n"/>
      <c r="S394" s="5">
        <f>IFERROR(IF(OR(N394="",R394="",J394=""),"",N394*R394*J394*2),"")</f>
        <v/>
      </c>
    </row>
    <row r="395">
      <c r="A395" t="n">
        <v>394</v>
      </c>
      <c r="G395" s="2" t="n"/>
      <c r="H395" s="2" t="n"/>
      <c r="I395" s="2" t="n"/>
      <c r="J395" s="3">
        <f>IFERROR(IF(OR(G395="",H395=""),"",ABS(G395-H395)),"")</f>
        <v/>
      </c>
      <c r="K395" s="2" t="n"/>
      <c r="L395" s="2" t="n"/>
      <c r="N395" s="4" t="n"/>
      <c r="O395" s="4" t="n"/>
      <c r="P395" s="4" t="n"/>
      <c r="Q395" s="2" t="n"/>
      <c r="S395" s="5">
        <f>IFERROR(IF(OR(N395="",R395="",J395=""),"",N395*R395*J395*2),"")</f>
        <v/>
      </c>
    </row>
    <row r="396">
      <c r="A396" t="n">
        <v>395</v>
      </c>
      <c r="G396" s="2" t="n"/>
      <c r="H396" s="2" t="n"/>
      <c r="I396" s="2" t="n"/>
      <c r="J396" s="3">
        <f>IFERROR(IF(OR(G396="",H396=""),"",ABS(G396-H396)),"")</f>
        <v/>
      </c>
      <c r="K396" s="2" t="n"/>
      <c r="L396" s="2" t="n"/>
      <c r="N396" s="4" t="n"/>
      <c r="O396" s="4" t="n"/>
      <c r="P396" s="4" t="n"/>
      <c r="Q396" s="2" t="n"/>
      <c r="S396" s="5">
        <f>IFERROR(IF(OR(N396="",R396="",J396=""),"",N396*R396*J396*2),"")</f>
        <v/>
      </c>
    </row>
    <row r="397">
      <c r="A397" t="n">
        <v>396</v>
      </c>
      <c r="G397" s="2" t="n"/>
      <c r="H397" s="2" t="n"/>
      <c r="I397" s="2" t="n"/>
      <c r="J397" s="3">
        <f>IFERROR(IF(OR(G397="",H397=""),"",ABS(G397-H397)),"")</f>
        <v/>
      </c>
      <c r="K397" s="2" t="n"/>
      <c r="L397" s="2" t="n"/>
      <c r="N397" s="4" t="n"/>
      <c r="O397" s="4" t="n"/>
      <c r="P397" s="4" t="n"/>
      <c r="Q397" s="2" t="n"/>
      <c r="S397" s="5">
        <f>IFERROR(IF(OR(N397="",R397="",J397=""),"",N397*R397*J397*2),"")</f>
        <v/>
      </c>
    </row>
    <row r="398">
      <c r="A398" t="n">
        <v>397</v>
      </c>
      <c r="G398" s="2" t="n"/>
      <c r="H398" s="2" t="n"/>
      <c r="I398" s="2" t="n"/>
      <c r="J398" s="3">
        <f>IFERROR(IF(OR(G398="",H398=""),"",ABS(G398-H398)),"")</f>
        <v/>
      </c>
      <c r="K398" s="2" t="n"/>
      <c r="L398" s="2" t="n"/>
      <c r="N398" s="4" t="n"/>
      <c r="O398" s="4" t="n"/>
      <c r="P398" s="4" t="n"/>
      <c r="Q398" s="2" t="n"/>
      <c r="S398" s="5">
        <f>IFERROR(IF(OR(N398="",R398="",J398=""),"",N398*R398*J398*2),"")</f>
        <v/>
      </c>
    </row>
    <row r="399">
      <c r="A399" t="n">
        <v>398</v>
      </c>
      <c r="G399" s="2" t="n"/>
      <c r="H399" s="2" t="n"/>
      <c r="I399" s="2" t="n"/>
      <c r="J399" s="3">
        <f>IFERROR(IF(OR(G399="",H399=""),"",ABS(G399-H399)),"")</f>
        <v/>
      </c>
      <c r="K399" s="2" t="n"/>
      <c r="L399" s="2" t="n"/>
      <c r="N399" s="4" t="n"/>
      <c r="O399" s="4" t="n"/>
      <c r="P399" s="4" t="n"/>
      <c r="Q399" s="2" t="n"/>
      <c r="S399" s="5">
        <f>IFERROR(IF(OR(N399="",R399="",J399=""),"",N399*R399*J399*2),"")</f>
        <v/>
      </c>
    </row>
    <row r="400">
      <c r="A400" t="n">
        <v>399</v>
      </c>
      <c r="G400" s="2" t="n"/>
      <c r="H400" s="2" t="n"/>
      <c r="I400" s="2" t="n"/>
      <c r="J400" s="3">
        <f>IFERROR(IF(OR(G400="",H400=""),"",ABS(G400-H400)),"")</f>
        <v/>
      </c>
      <c r="K400" s="2" t="n"/>
      <c r="L400" s="2" t="n"/>
      <c r="N400" s="4" t="n"/>
      <c r="O400" s="4" t="n"/>
      <c r="P400" s="4" t="n"/>
      <c r="Q400" s="2" t="n"/>
      <c r="S400" s="5">
        <f>IFERROR(IF(OR(N400="",R400="",J400=""),"",N400*R400*J400*2),"")</f>
        <v/>
      </c>
    </row>
    <row r="401">
      <c r="A401" t="n">
        <v>400</v>
      </c>
      <c r="G401" s="2" t="n"/>
      <c r="H401" s="2" t="n"/>
      <c r="I401" s="2" t="n"/>
      <c r="J401" s="3">
        <f>IFERROR(IF(OR(G401="",H401=""),"",ABS(G401-H401)),"")</f>
        <v/>
      </c>
      <c r="K401" s="2" t="n"/>
      <c r="L401" s="2" t="n"/>
      <c r="N401" s="4" t="n"/>
      <c r="O401" s="4" t="n"/>
      <c r="P401" s="4" t="n"/>
      <c r="Q401" s="2" t="n"/>
      <c r="S401" s="5">
        <f>IFERROR(IF(OR(N401="",R401="",J401=""),"",N401*R401*J401*2),"")</f>
        <v/>
      </c>
    </row>
    <row r="402">
      <c r="A402" t="n">
        <v>401</v>
      </c>
      <c r="G402" s="2" t="n"/>
      <c r="H402" s="2" t="n"/>
      <c r="I402" s="2" t="n"/>
      <c r="J402" s="3">
        <f>IFERROR(IF(OR(G402="",H402=""),"",ABS(G402-H402)),"")</f>
        <v/>
      </c>
      <c r="K402" s="2" t="n"/>
      <c r="L402" s="2" t="n"/>
      <c r="N402" s="4" t="n"/>
      <c r="O402" s="4" t="n"/>
      <c r="P402" s="4" t="n"/>
      <c r="Q402" s="2" t="n"/>
      <c r="S402" s="5">
        <f>IFERROR(IF(OR(N402="",R402="",J402=""),"",N402*R402*J402*2),"")</f>
        <v/>
      </c>
    </row>
    <row r="403">
      <c r="A403" t="n">
        <v>402</v>
      </c>
      <c r="G403" s="2" t="n"/>
      <c r="H403" s="2" t="n"/>
      <c r="I403" s="2" t="n"/>
      <c r="J403" s="3">
        <f>IFERROR(IF(OR(G403="",H403=""),"",ABS(G403-H403)),"")</f>
        <v/>
      </c>
      <c r="K403" s="2" t="n"/>
      <c r="L403" s="2" t="n"/>
      <c r="N403" s="4" t="n"/>
      <c r="O403" s="4" t="n"/>
      <c r="P403" s="4" t="n"/>
      <c r="Q403" s="2" t="n"/>
      <c r="S403" s="5">
        <f>IFERROR(IF(OR(N403="",R403="",J403=""),"",N403*R403*J403*2),"")</f>
        <v/>
      </c>
    </row>
    <row r="404">
      <c r="A404" t="n">
        <v>403</v>
      </c>
      <c r="G404" s="2" t="n"/>
      <c r="H404" s="2" t="n"/>
      <c r="I404" s="2" t="n"/>
      <c r="J404" s="3">
        <f>IFERROR(IF(OR(G404="",H404=""),"",ABS(G404-H404)),"")</f>
        <v/>
      </c>
      <c r="K404" s="2" t="n"/>
      <c r="L404" s="2" t="n"/>
      <c r="N404" s="4" t="n"/>
      <c r="O404" s="4" t="n"/>
      <c r="P404" s="4" t="n"/>
      <c r="Q404" s="2" t="n"/>
      <c r="S404" s="5">
        <f>IFERROR(IF(OR(N404="",R404="",J404=""),"",N404*R404*J404*2),"")</f>
        <v/>
      </c>
    </row>
    <row r="405">
      <c r="A405" t="n">
        <v>404</v>
      </c>
      <c r="G405" s="2" t="n"/>
      <c r="H405" s="2" t="n"/>
      <c r="I405" s="2" t="n"/>
      <c r="J405" s="3">
        <f>IFERROR(IF(OR(G405="",H405=""),"",ABS(G405-H405)),"")</f>
        <v/>
      </c>
      <c r="K405" s="2" t="n"/>
      <c r="L405" s="2" t="n"/>
      <c r="N405" s="4" t="n"/>
      <c r="O405" s="4" t="n"/>
      <c r="P405" s="4" t="n"/>
      <c r="Q405" s="2" t="n"/>
      <c r="S405" s="5">
        <f>IFERROR(IF(OR(N405="",R405="",J405=""),"",N405*R405*J405*2),"")</f>
        <v/>
      </c>
    </row>
    <row r="406">
      <c r="A406" t="n">
        <v>405</v>
      </c>
      <c r="G406" s="2" t="n"/>
      <c r="H406" s="2" t="n"/>
      <c r="I406" s="2" t="n"/>
      <c r="J406" s="3">
        <f>IFERROR(IF(OR(G406="",H406=""),"",ABS(G406-H406)),"")</f>
        <v/>
      </c>
      <c r="K406" s="2" t="n"/>
      <c r="L406" s="2" t="n"/>
      <c r="N406" s="4" t="n"/>
      <c r="O406" s="4" t="n"/>
      <c r="P406" s="4" t="n"/>
      <c r="Q406" s="2" t="n"/>
      <c r="S406" s="5">
        <f>IFERROR(IF(OR(N406="",R406="",J406=""),"",N406*R406*J406*2),"")</f>
        <v/>
      </c>
    </row>
    <row r="407">
      <c r="A407" t="n">
        <v>406</v>
      </c>
      <c r="G407" s="2" t="n"/>
      <c r="H407" s="2" t="n"/>
      <c r="I407" s="2" t="n"/>
      <c r="J407" s="3">
        <f>IFERROR(IF(OR(G407="",H407=""),"",ABS(G407-H407)),"")</f>
        <v/>
      </c>
      <c r="K407" s="2" t="n"/>
      <c r="L407" s="2" t="n"/>
      <c r="N407" s="4" t="n"/>
      <c r="O407" s="4" t="n"/>
      <c r="P407" s="4" t="n"/>
      <c r="Q407" s="2" t="n"/>
      <c r="S407" s="5">
        <f>IFERROR(IF(OR(N407="",R407="",J407=""),"",N407*R407*J407*2),"")</f>
        <v/>
      </c>
    </row>
    <row r="408">
      <c r="A408" t="n">
        <v>407</v>
      </c>
      <c r="G408" s="2" t="n"/>
      <c r="H408" s="2" t="n"/>
      <c r="I408" s="2" t="n"/>
      <c r="J408" s="3">
        <f>IFERROR(IF(OR(G408="",H408=""),"",ABS(G408-H408)),"")</f>
        <v/>
      </c>
      <c r="K408" s="2" t="n"/>
      <c r="L408" s="2" t="n"/>
      <c r="N408" s="4" t="n"/>
      <c r="O408" s="4" t="n"/>
      <c r="P408" s="4" t="n"/>
      <c r="Q408" s="2" t="n"/>
      <c r="S408" s="5">
        <f>IFERROR(IF(OR(N408="",R408="",J408=""),"",N408*R408*J408*2),"")</f>
        <v/>
      </c>
    </row>
    <row r="409">
      <c r="A409" t="n">
        <v>408</v>
      </c>
      <c r="G409" s="2" t="n"/>
      <c r="H409" s="2" t="n"/>
      <c r="I409" s="2" t="n"/>
      <c r="J409" s="3">
        <f>IFERROR(IF(OR(G409="",H409=""),"",ABS(G409-H409)),"")</f>
        <v/>
      </c>
      <c r="K409" s="2" t="n"/>
      <c r="L409" s="2" t="n"/>
      <c r="N409" s="4" t="n"/>
      <c r="O409" s="4" t="n"/>
      <c r="P409" s="4" t="n"/>
      <c r="Q409" s="2" t="n"/>
      <c r="S409" s="5">
        <f>IFERROR(IF(OR(N409="",R409="",J409=""),"",N409*R409*J409*2),"")</f>
        <v/>
      </c>
    </row>
    <row r="410">
      <c r="A410" t="n">
        <v>409</v>
      </c>
      <c r="G410" s="2" t="n"/>
      <c r="H410" s="2" t="n"/>
      <c r="I410" s="2" t="n"/>
      <c r="J410" s="3">
        <f>IFERROR(IF(OR(G410="",H410=""),"",ABS(G410-H410)),"")</f>
        <v/>
      </c>
      <c r="K410" s="2" t="n"/>
      <c r="L410" s="2" t="n"/>
      <c r="N410" s="4" t="n"/>
      <c r="O410" s="4" t="n"/>
      <c r="P410" s="4" t="n"/>
      <c r="Q410" s="2" t="n"/>
      <c r="S410" s="5">
        <f>IFERROR(IF(OR(N410="",R410="",J410=""),"",N410*R410*J410*2),"")</f>
        <v/>
      </c>
    </row>
    <row r="411">
      <c r="A411" t="n">
        <v>410</v>
      </c>
      <c r="G411" s="2" t="n"/>
      <c r="H411" s="2" t="n"/>
      <c r="I411" s="2" t="n"/>
      <c r="J411" s="3">
        <f>IFERROR(IF(OR(G411="",H411=""),"",ABS(G411-H411)),"")</f>
        <v/>
      </c>
      <c r="K411" s="2" t="n"/>
      <c r="L411" s="2" t="n"/>
      <c r="N411" s="4" t="n"/>
      <c r="O411" s="4" t="n"/>
      <c r="P411" s="4" t="n"/>
      <c r="Q411" s="2" t="n"/>
      <c r="S411" s="5">
        <f>IFERROR(IF(OR(N411="",R411="",J411=""),"",N411*R411*J411*2),"")</f>
        <v/>
      </c>
    </row>
    <row r="412">
      <c r="A412" t="n">
        <v>411</v>
      </c>
      <c r="G412" s="2" t="n"/>
      <c r="H412" s="2" t="n"/>
      <c r="I412" s="2" t="n"/>
      <c r="J412" s="3">
        <f>IFERROR(IF(OR(G412="",H412=""),"",ABS(G412-H412)),"")</f>
        <v/>
      </c>
      <c r="K412" s="2" t="n"/>
      <c r="L412" s="2" t="n"/>
      <c r="N412" s="4" t="n"/>
      <c r="O412" s="4" t="n"/>
      <c r="P412" s="4" t="n"/>
      <c r="Q412" s="2" t="n"/>
      <c r="S412" s="5">
        <f>IFERROR(IF(OR(N412="",R412="",J412=""),"",N412*R412*J412*2),"")</f>
        <v/>
      </c>
    </row>
    <row r="413">
      <c r="A413" t="n">
        <v>412</v>
      </c>
      <c r="G413" s="2" t="n"/>
      <c r="H413" s="2" t="n"/>
      <c r="I413" s="2" t="n"/>
      <c r="J413" s="3">
        <f>IFERROR(IF(OR(G413="",H413=""),"",ABS(G413-H413)),"")</f>
        <v/>
      </c>
      <c r="K413" s="2" t="n"/>
      <c r="L413" s="2" t="n"/>
      <c r="N413" s="4" t="n"/>
      <c r="O413" s="4" t="n"/>
      <c r="P413" s="4" t="n"/>
      <c r="Q413" s="2" t="n"/>
      <c r="S413" s="5">
        <f>IFERROR(IF(OR(N413="",R413="",J413=""),"",N413*R413*J413*2),"")</f>
        <v/>
      </c>
    </row>
    <row r="414">
      <c r="A414" t="n">
        <v>413</v>
      </c>
      <c r="G414" s="2" t="n"/>
      <c r="H414" s="2" t="n"/>
      <c r="I414" s="2" t="n"/>
      <c r="J414" s="3">
        <f>IFERROR(IF(OR(G414="",H414=""),"",ABS(G414-H414)),"")</f>
        <v/>
      </c>
      <c r="K414" s="2" t="n"/>
      <c r="L414" s="2" t="n"/>
      <c r="N414" s="4" t="n"/>
      <c r="O414" s="4" t="n"/>
      <c r="P414" s="4" t="n"/>
      <c r="Q414" s="2" t="n"/>
      <c r="S414" s="5">
        <f>IFERROR(IF(OR(N414="",R414="",J414=""),"",N414*R414*J414*2),"")</f>
        <v/>
      </c>
    </row>
    <row r="415">
      <c r="A415" t="n">
        <v>414</v>
      </c>
      <c r="G415" s="2" t="n"/>
      <c r="H415" s="2" t="n"/>
      <c r="I415" s="2" t="n"/>
      <c r="J415" s="3">
        <f>IFERROR(IF(OR(G415="",H415=""),"",ABS(G415-H415)),"")</f>
        <v/>
      </c>
      <c r="K415" s="2" t="n"/>
      <c r="L415" s="2" t="n"/>
      <c r="N415" s="4" t="n"/>
      <c r="O415" s="4" t="n"/>
      <c r="P415" s="4" t="n"/>
      <c r="Q415" s="2" t="n"/>
      <c r="S415" s="5">
        <f>IFERROR(IF(OR(N415="",R415="",J415=""),"",N415*R415*J415*2),"")</f>
        <v/>
      </c>
    </row>
    <row r="416">
      <c r="A416" t="n">
        <v>415</v>
      </c>
      <c r="G416" s="2" t="n"/>
      <c r="H416" s="2" t="n"/>
      <c r="I416" s="2" t="n"/>
      <c r="J416" s="3">
        <f>IFERROR(IF(OR(G416="",H416=""),"",ABS(G416-H416)),"")</f>
        <v/>
      </c>
      <c r="K416" s="2" t="n"/>
      <c r="L416" s="2" t="n"/>
      <c r="N416" s="4" t="n"/>
      <c r="O416" s="4" t="n"/>
      <c r="P416" s="4" t="n"/>
      <c r="Q416" s="2" t="n"/>
      <c r="S416" s="5">
        <f>IFERROR(IF(OR(N416="",R416="",J416=""),"",N416*R416*J416*2),"")</f>
        <v/>
      </c>
    </row>
    <row r="417">
      <c r="A417" t="n">
        <v>416</v>
      </c>
      <c r="G417" s="2" t="n"/>
      <c r="H417" s="2" t="n"/>
      <c r="I417" s="2" t="n"/>
      <c r="J417" s="3">
        <f>IFERROR(IF(OR(G417="",H417=""),"",ABS(G417-H417)),"")</f>
        <v/>
      </c>
      <c r="K417" s="2" t="n"/>
      <c r="L417" s="2" t="n"/>
      <c r="N417" s="4" t="n"/>
      <c r="O417" s="4" t="n"/>
      <c r="P417" s="4" t="n"/>
      <c r="Q417" s="2" t="n"/>
      <c r="S417" s="5">
        <f>IFERROR(IF(OR(N417="",R417="",J417=""),"",N417*R417*J417*2),"")</f>
        <v/>
      </c>
    </row>
    <row r="418">
      <c r="A418" t="n">
        <v>417</v>
      </c>
      <c r="G418" s="2" t="n"/>
      <c r="H418" s="2" t="n"/>
      <c r="I418" s="2" t="n"/>
      <c r="J418" s="3">
        <f>IFERROR(IF(OR(G418="",H418=""),"",ABS(G418-H418)),"")</f>
        <v/>
      </c>
      <c r="K418" s="2" t="n"/>
      <c r="L418" s="2" t="n"/>
      <c r="N418" s="4" t="n"/>
      <c r="O418" s="4" t="n"/>
      <c r="P418" s="4" t="n"/>
      <c r="Q418" s="2" t="n"/>
      <c r="S418" s="5">
        <f>IFERROR(IF(OR(N418="",R418="",J418=""),"",N418*R418*J418*2),"")</f>
        <v/>
      </c>
    </row>
    <row r="419">
      <c r="A419" t="n">
        <v>418</v>
      </c>
      <c r="G419" s="2" t="n"/>
      <c r="H419" s="2" t="n"/>
      <c r="I419" s="2" t="n"/>
      <c r="J419" s="3">
        <f>IFERROR(IF(OR(G419="",H419=""),"",ABS(G419-H419)),"")</f>
        <v/>
      </c>
      <c r="K419" s="2" t="n"/>
      <c r="L419" s="2" t="n"/>
      <c r="N419" s="4" t="n"/>
      <c r="O419" s="4" t="n"/>
      <c r="P419" s="4" t="n"/>
      <c r="Q419" s="2" t="n"/>
      <c r="S419" s="5">
        <f>IFERROR(IF(OR(N419="",R419="",J419=""),"",N419*R419*J419*2),"")</f>
        <v/>
      </c>
    </row>
    <row r="420">
      <c r="A420" t="n">
        <v>419</v>
      </c>
      <c r="G420" s="2" t="n"/>
      <c r="H420" s="2" t="n"/>
      <c r="I420" s="2" t="n"/>
      <c r="J420" s="3">
        <f>IFERROR(IF(OR(G420="",H420=""),"",ABS(G420-H420)),"")</f>
        <v/>
      </c>
      <c r="K420" s="2" t="n"/>
      <c r="L420" s="2" t="n"/>
      <c r="N420" s="4" t="n"/>
      <c r="O420" s="4" t="n"/>
      <c r="P420" s="4" t="n"/>
      <c r="Q420" s="2" t="n"/>
      <c r="S420" s="5">
        <f>IFERROR(IF(OR(N420="",R420="",J420=""),"",N420*R420*J420*2),"")</f>
        <v/>
      </c>
    </row>
    <row r="421">
      <c r="A421" t="n">
        <v>420</v>
      </c>
      <c r="G421" s="2" t="n"/>
      <c r="H421" s="2" t="n"/>
      <c r="I421" s="2" t="n"/>
      <c r="J421" s="3">
        <f>IFERROR(IF(OR(G421="",H421=""),"",ABS(G421-H421)),"")</f>
        <v/>
      </c>
      <c r="K421" s="2" t="n"/>
      <c r="L421" s="2" t="n"/>
      <c r="N421" s="4" t="n"/>
      <c r="O421" s="4" t="n"/>
      <c r="P421" s="4" t="n"/>
      <c r="Q421" s="2" t="n"/>
      <c r="S421" s="5">
        <f>IFERROR(IF(OR(N421="",R421="",J421=""),"",N421*R421*J421*2),"")</f>
        <v/>
      </c>
    </row>
    <row r="422">
      <c r="A422" t="n">
        <v>421</v>
      </c>
      <c r="G422" s="2" t="n"/>
      <c r="H422" s="2" t="n"/>
      <c r="I422" s="2" t="n"/>
      <c r="J422" s="3">
        <f>IFERROR(IF(OR(G422="",H422=""),"",ABS(G422-H422)),"")</f>
        <v/>
      </c>
      <c r="K422" s="2" t="n"/>
      <c r="L422" s="2" t="n"/>
      <c r="N422" s="4" t="n"/>
      <c r="O422" s="4" t="n"/>
      <c r="P422" s="4" t="n"/>
      <c r="Q422" s="2" t="n"/>
      <c r="S422" s="5">
        <f>IFERROR(IF(OR(N422="",R422="",J422=""),"",N422*R422*J422*2),"")</f>
        <v/>
      </c>
    </row>
    <row r="423">
      <c r="A423" t="n">
        <v>422</v>
      </c>
      <c r="G423" s="2" t="n"/>
      <c r="H423" s="2" t="n"/>
      <c r="I423" s="2" t="n"/>
      <c r="J423" s="3">
        <f>IFERROR(IF(OR(G423="",H423=""),"",ABS(G423-H423)),"")</f>
        <v/>
      </c>
      <c r="K423" s="2" t="n"/>
      <c r="L423" s="2" t="n"/>
      <c r="N423" s="4" t="n"/>
      <c r="O423" s="4" t="n"/>
      <c r="P423" s="4" t="n"/>
      <c r="Q423" s="2" t="n"/>
      <c r="S423" s="5">
        <f>IFERROR(IF(OR(N423="",R423="",J423=""),"",N423*R423*J423*2),"")</f>
        <v/>
      </c>
    </row>
    <row r="424">
      <c r="A424" t="n">
        <v>423</v>
      </c>
      <c r="G424" s="2" t="n"/>
      <c r="H424" s="2" t="n"/>
      <c r="I424" s="2" t="n"/>
      <c r="J424" s="3">
        <f>IFERROR(IF(OR(G424="",H424=""),"",ABS(G424-H424)),"")</f>
        <v/>
      </c>
      <c r="K424" s="2" t="n"/>
      <c r="L424" s="2" t="n"/>
      <c r="N424" s="4" t="n"/>
      <c r="O424" s="4" t="n"/>
      <c r="P424" s="4" t="n"/>
      <c r="Q424" s="2" t="n"/>
      <c r="S424" s="5">
        <f>IFERROR(IF(OR(N424="",R424="",J424=""),"",N424*R424*J424*2),"")</f>
        <v/>
      </c>
    </row>
    <row r="425">
      <c r="A425" t="n">
        <v>424</v>
      </c>
      <c r="G425" s="2" t="n"/>
      <c r="H425" s="2" t="n"/>
      <c r="I425" s="2" t="n"/>
      <c r="J425" s="3">
        <f>IFERROR(IF(OR(G425="",H425=""),"",ABS(G425-H425)),"")</f>
        <v/>
      </c>
      <c r="K425" s="2" t="n"/>
      <c r="L425" s="2" t="n"/>
      <c r="N425" s="4" t="n"/>
      <c r="O425" s="4" t="n"/>
      <c r="P425" s="4" t="n"/>
      <c r="Q425" s="2" t="n"/>
      <c r="S425" s="5">
        <f>IFERROR(IF(OR(N425="",R425="",J425=""),"",N425*R425*J425*2),"")</f>
        <v/>
      </c>
    </row>
    <row r="426">
      <c r="A426" t="n">
        <v>425</v>
      </c>
      <c r="G426" s="2" t="n"/>
      <c r="H426" s="2" t="n"/>
      <c r="I426" s="2" t="n"/>
      <c r="J426" s="3">
        <f>IFERROR(IF(OR(G426="",H426=""),"",ABS(G426-H426)),"")</f>
        <v/>
      </c>
      <c r="K426" s="2" t="n"/>
      <c r="L426" s="2" t="n"/>
      <c r="N426" s="4" t="n"/>
      <c r="O426" s="4" t="n"/>
      <c r="P426" s="4" t="n"/>
      <c r="Q426" s="2" t="n"/>
      <c r="S426" s="5">
        <f>IFERROR(IF(OR(N426="",R426="",J426=""),"",N426*R426*J426*2),"")</f>
        <v/>
      </c>
    </row>
    <row r="427">
      <c r="A427" t="n">
        <v>426</v>
      </c>
      <c r="G427" s="2" t="n"/>
      <c r="H427" s="2" t="n"/>
      <c r="I427" s="2" t="n"/>
      <c r="J427" s="3">
        <f>IFERROR(IF(OR(G427="",H427=""),"",ABS(G427-H427)),"")</f>
        <v/>
      </c>
      <c r="K427" s="2" t="n"/>
      <c r="L427" s="2" t="n"/>
      <c r="N427" s="4" t="n"/>
      <c r="O427" s="4" t="n"/>
      <c r="P427" s="4" t="n"/>
      <c r="Q427" s="2" t="n"/>
      <c r="S427" s="5">
        <f>IFERROR(IF(OR(N427="",R427="",J427=""),"",N427*R427*J427*2),"")</f>
        <v/>
      </c>
    </row>
    <row r="428">
      <c r="A428" t="n">
        <v>427</v>
      </c>
      <c r="G428" s="2" t="n"/>
      <c r="H428" s="2" t="n"/>
      <c r="I428" s="2" t="n"/>
      <c r="J428" s="3">
        <f>IFERROR(IF(OR(G428="",H428=""),"",ABS(G428-H428)),"")</f>
        <v/>
      </c>
      <c r="K428" s="2" t="n"/>
      <c r="L428" s="2" t="n"/>
      <c r="N428" s="4" t="n"/>
      <c r="O428" s="4" t="n"/>
      <c r="P428" s="4" t="n"/>
      <c r="Q428" s="2" t="n"/>
      <c r="S428" s="5">
        <f>IFERROR(IF(OR(N428="",R428="",J428=""),"",N428*R428*J428*2),"")</f>
        <v/>
      </c>
    </row>
    <row r="429">
      <c r="A429" t="n">
        <v>428</v>
      </c>
      <c r="G429" s="2" t="n"/>
      <c r="H429" s="2" t="n"/>
      <c r="I429" s="2" t="n"/>
      <c r="J429" s="3">
        <f>IFERROR(IF(OR(G429="",H429=""),"",ABS(G429-H429)),"")</f>
        <v/>
      </c>
      <c r="K429" s="2" t="n"/>
      <c r="L429" s="2" t="n"/>
      <c r="N429" s="4" t="n"/>
      <c r="O429" s="4" t="n"/>
      <c r="P429" s="4" t="n"/>
      <c r="Q429" s="2" t="n"/>
      <c r="S429" s="5">
        <f>IFERROR(IF(OR(N429="",R429="",J429=""),"",N429*R429*J429*2),"")</f>
        <v/>
      </c>
    </row>
    <row r="430">
      <c r="A430" t="n">
        <v>429</v>
      </c>
      <c r="G430" s="2" t="n"/>
      <c r="H430" s="2" t="n"/>
      <c r="I430" s="2" t="n"/>
      <c r="J430" s="3">
        <f>IFERROR(IF(OR(G430="",H430=""),"",ABS(G430-H430)),"")</f>
        <v/>
      </c>
      <c r="K430" s="2" t="n"/>
      <c r="L430" s="2" t="n"/>
      <c r="N430" s="4" t="n"/>
      <c r="O430" s="4" t="n"/>
      <c r="P430" s="4" t="n"/>
      <c r="Q430" s="2" t="n"/>
      <c r="S430" s="5">
        <f>IFERROR(IF(OR(N430="",R430="",J430=""),"",N430*R430*J430*2),"")</f>
        <v/>
      </c>
    </row>
    <row r="431">
      <c r="A431" t="n">
        <v>430</v>
      </c>
      <c r="G431" s="2" t="n"/>
      <c r="H431" s="2" t="n"/>
      <c r="I431" s="2" t="n"/>
      <c r="J431" s="3">
        <f>IFERROR(IF(OR(G431="",H431=""),"",ABS(G431-H431)),"")</f>
        <v/>
      </c>
      <c r="K431" s="2" t="n"/>
      <c r="L431" s="2" t="n"/>
      <c r="N431" s="4" t="n"/>
      <c r="O431" s="4" t="n"/>
      <c r="P431" s="4" t="n"/>
      <c r="Q431" s="2" t="n"/>
      <c r="S431" s="5">
        <f>IFERROR(IF(OR(N431="",R431="",J431=""),"",N431*R431*J431*2),"")</f>
        <v/>
      </c>
    </row>
    <row r="432">
      <c r="A432" t="n">
        <v>431</v>
      </c>
      <c r="G432" s="2" t="n"/>
      <c r="H432" s="2" t="n"/>
      <c r="I432" s="2" t="n"/>
      <c r="J432" s="3">
        <f>IFERROR(IF(OR(G432="",H432=""),"",ABS(G432-H432)),"")</f>
        <v/>
      </c>
      <c r="K432" s="2" t="n"/>
      <c r="L432" s="2" t="n"/>
      <c r="N432" s="4" t="n"/>
      <c r="O432" s="4" t="n"/>
      <c r="P432" s="4" t="n"/>
      <c r="Q432" s="2" t="n"/>
      <c r="S432" s="5">
        <f>IFERROR(IF(OR(N432="",R432="",J432=""),"",N432*R432*J432*2),"")</f>
        <v/>
      </c>
    </row>
    <row r="433">
      <c r="A433" t="n">
        <v>432</v>
      </c>
      <c r="G433" s="2" t="n"/>
      <c r="H433" s="2" t="n"/>
      <c r="I433" s="2" t="n"/>
      <c r="J433" s="3">
        <f>IFERROR(IF(OR(G433="",H433=""),"",ABS(G433-H433)),"")</f>
        <v/>
      </c>
      <c r="K433" s="2" t="n"/>
      <c r="L433" s="2" t="n"/>
      <c r="N433" s="4" t="n"/>
      <c r="O433" s="4" t="n"/>
      <c r="P433" s="4" t="n"/>
      <c r="Q433" s="2" t="n"/>
      <c r="S433" s="5">
        <f>IFERROR(IF(OR(N433="",R433="",J433=""),"",N433*R433*J433*2),"")</f>
        <v/>
      </c>
    </row>
    <row r="434">
      <c r="A434" t="n">
        <v>433</v>
      </c>
      <c r="G434" s="2" t="n"/>
      <c r="H434" s="2" t="n"/>
      <c r="I434" s="2" t="n"/>
      <c r="J434" s="3">
        <f>IFERROR(IF(OR(G434="",H434=""),"",ABS(G434-H434)),"")</f>
        <v/>
      </c>
      <c r="K434" s="2" t="n"/>
      <c r="L434" s="2" t="n"/>
      <c r="N434" s="4" t="n"/>
      <c r="O434" s="4" t="n"/>
      <c r="P434" s="4" t="n"/>
      <c r="Q434" s="2" t="n"/>
      <c r="S434" s="5">
        <f>IFERROR(IF(OR(N434="",R434="",J434=""),"",N434*R434*J434*2),"")</f>
        <v/>
      </c>
    </row>
    <row r="435">
      <c r="A435" t="n">
        <v>434</v>
      </c>
      <c r="G435" s="2" t="n"/>
      <c r="H435" s="2" t="n"/>
      <c r="I435" s="2" t="n"/>
      <c r="J435" s="3">
        <f>IFERROR(IF(OR(G435="",H435=""),"",ABS(G435-H435)),"")</f>
        <v/>
      </c>
      <c r="K435" s="2" t="n"/>
      <c r="L435" s="2" t="n"/>
      <c r="N435" s="4" t="n"/>
      <c r="O435" s="4" t="n"/>
      <c r="P435" s="4" t="n"/>
      <c r="Q435" s="2" t="n"/>
      <c r="S435" s="5">
        <f>IFERROR(IF(OR(N435="",R435="",J435=""),"",N435*R435*J435*2),"")</f>
        <v/>
      </c>
    </row>
    <row r="436">
      <c r="A436" t="n">
        <v>435</v>
      </c>
      <c r="G436" s="2" t="n"/>
      <c r="H436" s="2" t="n"/>
      <c r="I436" s="2" t="n"/>
      <c r="J436" s="3">
        <f>IFERROR(IF(OR(G436="",H436=""),"",ABS(G436-H436)),"")</f>
        <v/>
      </c>
      <c r="K436" s="2" t="n"/>
      <c r="L436" s="2" t="n"/>
      <c r="N436" s="4" t="n"/>
      <c r="O436" s="4" t="n"/>
      <c r="P436" s="4" t="n"/>
      <c r="Q436" s="2" t="n"/>
      <c r="S436" s="5">
        <f>IFERROR(IF(OR(N436="",R436="",J436=""),"",N436*R436*J436*2),"")</f>
        <v/>
      </c>
    </row>
    <row r="437">
      <c r="A437" t="n">
        <v>436</v>
      </c>
      <c r="G437" s="2" t="n"/>
      <c r="H437" s="2" t="n"/>
      <c r="I437" s="2" t="n"/>
      <c r="J437" s="3">
        <f>IFERROR(IF(OR(G437="",H437=""),"",ABS(G437-H437)),"")</f>
        <v/>
      </c>
      <c r="K437" s="2" t="n"/>
      <c r="L437" s="2" t="n"/>
      <c r="N437" s="4" t="n"/>
      <c r="O437" s="4" t="n"/>
      <c r="P437" s="4" t="n"/>
      <c r="Q437" s="2" t="n"/>
      <c r="S437" s="5">
        <f>IFERROR(IF(OR(N437="",R437="",J437=""),"",N437*R437*J437*2),"")</f>
        <v/>
      </c>
    </row>
    <row r="438">
      <c r="A438" t="n">
        <v>437</v>
      </c>
      <c r="G438" s="2" t="n"/>
      <c r="H438" s="2" t="n"/>
      <c r="I438" s="2" t="n"/>
      <c r="J438" s="3">
        <f>IFERROR(IF(OR(G438="",H438=""),"",ABS(G438-H438)),"")</f>
        <v/>
      </c>
      <c r="K438" s="2" t="n"/>
      <c r="L438" s="2" t="n"/>
      <c r="N438" s="4" t="n"/>
      <c r="O438" s="4" t="n"/>
      <c r="P438" s="4" t="n"/>
      <c r="Q438" s="2" t="n"/>
      <c r="S438" s="5">
        <f>IFERROR(IF(OR(N438="",R438="",J438=""),"",N438*R438*J438*2),"")</f>
        <v/>
      </c>
    </row>
    <row r="439">
      <c r="A439" t="n">
        <v>438</v>
      </c>
      <c r="G439" s="2" t="n"/>
      <c r="H439" s="2" t="n"/>
      <c r="I439" s="2" t="n"/>
      <c r="J439" s="3">
        <f>IFERROR(IF(OR(G439="",H439=""),"",ABS(G439-H439)),"")</f>
        <v/>
      </c>
      <c r="K439" s="2" t="n"/>
      <c r="L439" s="2" t="n"/>
      <c r="N439" s="4" t="n"/>
      <c r="O439" s="4" t="n"/>
      <c r="P439" s="4" t="n"/>
      <c r="Q439" s="2" t="n"/>
      <c r="S439" s="5">
        <f>IFERROR(IF(OR(N439="",R439="",J439=""),"",N439*R439*J439*2),"")</f>
        <v/>
      </c>
    </row>
    <row r="440">
      <c r="A440" t="n">
        <v>439</v>
      </c>
      <c r="G440" s="2" t="n"/>
      <c r="H440" s="2" t="n"/>
      <c r="I440" s="2" t="n"/>
      <c r="J440" s="3">
        <f>IFERROR(IF(OR(G440="",H440=""),"",ABS(G440-H440)),"")</f>
        <v/>
      </c>
      <c r="K440" s="2" t="n"/>
      <c r="L440" s="2" t="n"/>
      <c r="N440" s="4" t="n"/>
      <c r="O440" s="4" t="n"/>
      <c r="P440" s="4" t="n"/>
      <c r="Q440" s="2" t="n"/>
      <c r="S440" s="5">
        <f>IFERROR(IF(OR(N440="",R440="",J440=""),"",N440*R440*J440*2),"")</f>
        <v/>
      </c>
    </row>
    <row r="441">
      <c r="A441" t="n">
        <v>440</v>
      </c>
      <c r="G441" s="2" t="n"/>
      <c r="H441" s="2" t="n"/>
      <c r="I441" s="2" t="n"/>
      <c r="J441" s="3">
        <f>IFERROR(IF(OR(G441="",H441=""),"",ABS(G441-H441)),"")</f>
        <v/>
      </c>
      <c r="K441" s="2" t="n"/>
      <c r="L441" s="2" t="n"/>
      <c r="N441" s="4" t="n"/>
      <c r="O441" s="4" t="n"/>
      <c r="P441" s="4" t="n"/>
      <c r="Q441" s="2" t="n"/>
      <c r="S441" s="5">
        <f>IFERROR(IF(OR(N441="",R441="",J441=""),"",N441*R441*J441*2),"")</f>
        <v/>
      </c>
    </row>
    <row r="442">
      <c r="A442" t="n">
        <v>441</v>
      </c>
      <c r="G442" s="2" t="n"/>
      <c r="H442" s="2" t="n"/>
      <c r="I442" s="2" t="n"/>
      <c r="J442" s="3">
        <f>IFERROR(IF(OR(G442="",H442=""),"",ABS(G442-H442)),"")</f>
        <v/>
      </c>
      <c r="K442" s="2" t="n"/>
      <c r="L442" s="2" t="n"/>
      <c r="N442" s="4" t="n"/>
      <c r="O442" s="4" t="n"/>
      <c r="P442" s="4" t="n"/>
      <c r="Q442" s="2" t="n"/>
      <c r="S442" s="5">
        <f>IFERROR(IF(OR(N442="",R442="",J442=""),"",N442*R442*J442*2),"")</f>
        <v/>
      </c>
    </row>
    <row r="443">
      <c r="A443" t="n">
        <v>442</v>
      </c>
      <c r="G443" s="2" t="n"/>
      <c r="H443" s="2" t="n"/>
      <c r="I443" s="2" t="n"/>
      <c r="J443" s="3">
        <f>IFERROR(IF(OR(G443="",H443=""),"",ABS(G443-H443)),"")</f>
        <v/>
      </c>
      <c r="K443" s="2" t="n"/>
      <c r="L443" s="2" t="n"/>
      <c r="N443" s="4" t="n"/>
      <c r="O443" s="4" t="n"/>
      <c r="P443" s="4" t="n"/>
      <c r="Q443" s="2" t="n"/>
      <c r="S443" s="5">
        <f>IFERROR(IF(OR(N443="",R443="",J443=""),"",N443*R443*J443*2),"")</f>
        <v/>
      </c>
    </row>
    <row r="444">
      <c r="A444" t="n">
        <v>443</v>
      </c>
      <c r="G444" s="2" t="n"/>
      <c r="H444" s="2" t="n"/>
      <c r="I444" s="2" t="n"/>
      <c r="J444" s="3">
        <f>IFERROR(IF(OR(G444="",H444=""),"",ABS(G444-H444)),"")</f>
        <v/>
      </c>
      <c r="K444" s="2" t="n"/>
      <c r="L444" s="2" t="n"/>
      <c r="N444" s="4" t="n"/>
      <c r="O444" s="4" t="n"/>
      <c r="P444" s="4" t="n"/>
      <c r="Q444" s="2" t="n"/>
      <c r="S444" s="5">
        <f>IFERROR(IF(OR(N444="",R444="",J444=""),"",N444*R444*J444*2),"")</f>
        <v/>
      </c>
    </row>
    <row r="445">
      <c r="A445" t="n">
        <v>444</v>
      </c>
      <c r="G445" s="2" t="n"/>
      <c r="H445" s="2" t="n"/>
      <c r="I445" s="2" t="n"/>
      <c r="J445" s="3">
        <f>IFERROR(IF(OR(G445="",H445=""),"",ABS(G445-H445)),"")</f>
        <v/>
      </c>
      <c r="K445" s="2" t="n"/>
      <c r="L445" s="2" t="n"/>
      <c r="N445" s="4" t="n"/>
      <c r="O445" s="4" t="n"/>
      <c r="P445" s="4" t="n"/>
      <c r="Q445" s="2" t="n"/>
      <c r="S445" s="5">
        <f>IFERROR(IF(OR(N445="",R445="",J445=""),"",N445*R445*J445*2),"")</f>
        <v/>
      </c>
    </row>
    <row r="446">
      <c r="A446" t="n">
        <v>445</v>
      </c>
      <c r="G446" s="2" t="n"/>
      <c r="H446" s="2" t="n"/>
      <c r="I446" s="2" t="n"/>
      <c r="J446" s="3">
        <f>IFERROR(IF(OR(G446="",H446=""),"",ABS(G446-H446)),"")</f>
        <v/>
      </c>
      <c r="K446" s="2" t="n"/>
      <c r="L446" s="2" t="n"/>
      <c r="N446" s="4" t="n"/>
      <c r="O446" s="4" t="n"/>
      <c r="P446" s="4" t="n"/>
      <c r="Q446" s="2" t="n"/>
      <c r="S446" s="5">
        <f>IFERROR(IF(OR(N446="",R446="",J446=""),"",N446*R446*J446*2),"")</f>
        <v/>
      </c>
    </row>
    <row r="447">
      <c r="A447" t="n">
        <v>446</v>
      </c>
      <c r="G447" s="2" t="n"/>
      <c r="H447" s="2" t="n"/>
      <c r="I447" s="2" t="n"/>
      <c r="J447" s="3">
        <f>IFERROR(IF(OR(G447="",H447=""),"",ABS(G447-H447)),"")</f>
        <v/>
      </c>
      <c r="K447" s="2" t="n"/>
      <c r="L447" s="2" t="n"/>
      <c r="N447" s="4" t="n"/>
      <c r="O447" s="4" t="n"/>
      <c r="P447" s="4" t="n"/>
      <c r="Q447" s="2" t="n"/>
      <c r="S447" s="5">
        <f>IFERROR(IF(OR(N447="",R447="",J447=""),"",N447*R447*J447*2),"")</f>
        <v/>
      </c>
    </row>
    <row r="448">
      <c r="A448" t="n">
        <v>447</v>
      </c>
      <c r="G448" s="2" t="n"/>
      <c r="H448" s="2" t="n"/>
      <c r="I448" s="2" t="n"/>
      <c r="J448" s="3">
        <f>IFERROR(IF(OR(G448="",H448=""),"",ABS(G448-H448)),"")</f>
        <v/>
      </c>
      <c r="K448" s="2" t="n"/>
      <c r="L448" s="2" t="n"/>
      <c r="N448" s="4" t="n"/>
      <c r="O448" s="4" t="n"/>
      <c r="P448" s="4" t="n"/>
      <c r="Q448" s="2" t="n"/>
      <c r="S448" s="5">
        <f>IFERROR(IF(OR(N448="",R448="",J448=""),"",N448*R448*J448*2),"")</f>
        <v/>
      </c>
    </row>
    <row r="449">
      <c r="A449" t="n">
        <v>448</v>
      </c>
      <c r="G449" s="2" t="n"/>
      <c r="H449" s="2" t="n"/>
      <c r="I449" s="2" t="n"/>
      <c r="J449" s="3">
        <f>IFERROR(IF(OR(G449="",H449=""),"",ABS(G449-H449)),"")</f>
        <v/>
      </c>
      <c r="K449" s="2" t="n"/>
      <c r="L449" s="2" t="n"/>
      <c r="N449" s="4" t="n"/>
      <c r="O449" s="4" t="n"/>
      <c r="P449" s="4" t="n"/>
      <c r="Q449" s="2" t="n"/>
      <c r="S449" s="5">
        <f>IFERROR(IF(OR(N449="",R449="",J449=""),"",N449*R449*J449*2),"")</f>
        <v/>
      </c>
    </row>
    <row r="450">
      <c r="A450" t="n">
        <v>449</v>
      </c>
      <c r="G450" s="2" t="n"/>
      <c r="H450" s="2" t="n"/>
      <c r="I450" s="2" t="n"/>
      <c r="J450" s="3">
        <f>IFERROR(IF(OR(G450="",H450=""),"",ABS(G450-H450)),"")</f>
        <v/>
      </c>
      <c r="K450" s="2" t="n"/>
      <c r="L450" s="2" t="n"/>
      <c r="N450" s="4" t="n"/>
      <c r="O450" s="4" t="n"/>
      <c r="P450" s="4" t="n"/>
      <c r="Q450" s="2" t="n"/>
      <c r="S450" s="5">
        <f>IFERROR(IF(OR(N450="",R450="",J450=""),"",N450*R450*J450*2),"")</f>
        <v/>
      </c>
    </row>
    <row r="451">
      <c r="A451" t="n">
        <v>450</v>
      </c>
      <c r="G451" s="2" t="n"/>
      <c r="H451" s="2" t="n"/>
      <c r="I451" s="2" t="n"/>
      <c r="J451" s="3">
        <f>IFERROR(IF(OR(G451="",H451=""),"",ABS(G451-H451)),"")</f>
        <v/>
      </c>
      <c r="K451" s="2" t="n"/>
      <c r="L451" s="2" t="n"/>
      <c r="N451" s="4" t="n"/>
      <c r="O451" s="4" t="n"/>
      <c r="P451" s="4" t="n"/>
      <c r="Q451" s="2" t="n"/>
      <c r="S451" s="5">
        <f>IFERROR(IF(OR(N451="",R451="",J451=""),"",N451*R451*J451*2),"")</f>
        <v/>
      </c>
    </row>
    <row r="452">
      <c r="A452" t="n">
        <v>451</v>
      </c>
      <c r="G452" s="2" t="n"/>
      <c r="H452" s="2" t="n"/>
      <c r="I452" s="2" t="n"/>
      <c r="J452" s="3">
        <f>IFERROR(IF(OR(G452="",H452=""),"",ABS(G452-H452)),"")</f>
        <v/>
      </c>
      <c r="K452" s="2" t="n"/>
      <c r="L452" s="2" t="n"/>
      <c r="N452" s="4" t="n"/>
      <c r="O452" s="4" t="n"/>
      <c r="P452" s="4" t="n"/>
      <c r="Q452" s="2" t="n"/>
      <c r="S452" s="5">
        <f>IFERROR(IF(OR(N452="",R452="",J452=""),"",N452*R452*J452*2),"")</f>
        <v/>
      </c>
    </row>
    <row r="453">
      <c r="A453" t="n">
        <v>452</v>
      </c>
      <c r="G453" s="2" t="n"/>
      <c r="H453" s="2" t="n"/>
      <c r="I453" s="2" t="n"/>
      <c r="J453" s="3">
        <f>IFERROR(IF(OR(G453="",H453=""),"",ABS(G453-H453)),"")</f>
        <v/>
      </c>
      <c r="K453" s="2" t="n"/>
      <c r="L453" s="2" t="n"/>
      <c r="N453" s="4" t="n"/>
      <c r="O453" s="4" t="n"/>
      <c r="P453" s="4" t="n"/>
      <c r="Q453" s="2" t="n"/>
      <c r="S453" s="5">
        <f>IFERROR(IF(OR(N453="",R453="",J453=""),"",N453*R453*J453*2),"")</f>
        <v/>
      </c>
    </row>
    <row r="454">
      <c r="A454" t="n">
        <v>453</v>
      </c>
      <c r="G454" s="2" t="n"/>
      <c r="H454" s="2" t="n"/>
      <c r="I454" s="2" t="n"/>
      <c r="J454" s="3">
        <f>IFERROR(IF(OR(G454="",H454=""),"",ABS(G454-H454)),"")</f>
        <v/>
      </c>
      <c r="K454" s="2" t="n"/>
      <c r="L454" s="2" t="n"/>
      <c r="N454" s="4" t="n"/>
      <c r="O454" s="4" t="n"/>
      <c r="P454" s="4" t="n"/>
      <c r="Q454" s="2" t="n"/>
      <c r="S454" s="5">
        <f>IFERROR(IF(OR(N454="",R454="",J454=""),"",N454*R454*J454*2),"")</f>
        <v/>
      </c>
    </row>
    <row r="455">
      <c r="A455" t="n">
        <v>454</v>
      </c>
      <c r="G455" s="2" t="n"/>
      <c r="H455" s="2" t="n"/>
      <c r="I455" s="2" t="n"/>
      <c r="J455" s="3">
        <f>IFERROR(IF(OR(G455="",H455=""),"",ABS(G455-H455)),"")</f>
        <v/>
      </c>
      <c r="K455" s="2" t="n"/>
      <c r="L455" s="2" t="n"/>
      <c r="N455" s="4" t="n"/>
      <c r="O455" s="4" t="n"/>
      <c r="P455" s="4" t="n"/>
      <c r="Q455" s="2" t="n"/>
      <c r="S455" s="5">
        <f>IFERROR(IF(OR(N455="",R455="",J455=""),"",N455*R455*J455*2),"")</f>
        <v/>
      </c>
    </row>
    <row r="456">
      <c r="A456" t="n">
        <v>455</v>
      </c>
      <c r="G456" s="2" t="n"/>
      <c r="H456" s="2" t="n"/>
      <c r="I456" s="2" t="n"/>
      <c r="J456" s="3">
        <f>IFERROR(IF(OR(G456="",H456=""),"",ABS(G456-H456)),"")</f>
        <v/>
      </c>
      <c r="K456" s="2" t="n"/>
      <c r="L456" s="2" t="n"/>
      <c r="N456" s="4" t="n"/>
      <c r="O456" s="4" t="n"/>
      <c r="P456" s="4" t="n"/>
      <c r="Q456" s="2" t="n"/>
      <c r="S456" s="5">
        <f>IFERROR(IF(OR(N456="",R456="",J456=""),"",N456*R456*J456*2),"")</f>
        <v/>
      </c>
    </row>
    <row r="457">
      <c r="A457" t="n">
        <v>456</v>
      </c>
      <c r="G457" s="2" t="n"/>
      <c r="H457" s="2" t="n"/>
      <c r="I457" s="2" t="n"/>
      <c r="J457" s="3">
        <f>IFERROR(IF(OR(G457="",H457=""),"",ABS(G457-H457)),"")</f>
        <v/>
      </c>
      <c r="K457" s="2" t="n"/>
      <c r="L457" s="2" t="n"/>
      <c r="N457" s="4" t="n"/>
      <c r="O457" s="4" t="n"/>
      <c r="P457" s="4" t="n"/>
      <c r="Q457" s="2" t="n"/>
      <c r="S457" s="5">
        <f>IFERROR(IF(OR(N457="",R457="",J457=""),"",N457*R457*J457*2),"")</f>
        <v/>
      </c>
    </row>
    <row r="458">
      <c r="A458" t="n">
        <v>457</v>
      </c>
      <c r="G458" s="2" t="n"/>
      <c r="H458" s="2" t="n"/>
      <c r="I458" s="2" t="n"/>
      <c r="J458" s="3">
        <f>IFERROR(IF(OR(G458="",H458=""),"",ABS(G458-H458)),"")</f>
        <v/>
      </c>
      <c r="K458" s="2" t="n"/>
      <c r="L458" s="2" t="n"/>
      <c r="N458" s="4" t="n"/>
      <c r="O458" s="4" t="n"/>
      <c r="P458" s="4" t="n"/>
      <c r="Q458" s="2" t="n"/>
      <c r="S458" s="5">
        <f>IFERROR(IF(OR(N458="",R458="",J458=""),"",N458*R458*J458*2),"")</f>
        <v/>
      </c>
    </row>
    <row r="459">
      <c r="A459" t="n">
        <v>458</v>
      </c>
      <c r="G459" s="2" t="n"/>
      <c r="H459" s="2" t="n"/>
      <c r="I459" s="2" t="n"/>
      <c r="J459" s="3">
        <f>IFERROR(IF(OR(G459="",H459=""),"",ABS(G459-H459)),"")</f>
        <v/>
      </c>
      <c r="K459" s="2" t="n"/>
      <c r="L459" s="2" t="n"/>
      <c r="N459" s="4" t="n"/>
      <c r="O459" s="4" t="n"/>
      <c r="P459" s="4" t="n"/>
      <c r="Q459" s="2" t="n"/>
      <c r="S459" s="5">
        <f>IFERROR(IF(OR(N459="",R459="",J459=""),"",N459*R459*J459*2),"")</f>
        <v/>
      </c>
    </row>
    <row r="460">
      <c r="A460" t="n">
        <v>459</v>
      </c>
      <c r="G460" s="2" t="n"/>
      <c r="H460" s="2" t="n"/>
      <c r="I460" s="2" t="n"/>
      <c r="J460" s="3">
        <f>IFERROR(IF(OR(G460="",H460=""),"",ABS(G460-H460)),"")</f>
        <v/>
      </c>
      <c r="K460" s="2" t="n"/>
      <c r="L460" s="2" t="n"/>
      <c r="N460" s="4" t="n"/>
      <c r="O460" s="4" t="n"/>
      <c r="P460" s="4" t="n"/>
      <c r="Q460" s="2" t="n"/>
      <c r="S460" s="5">
        <f>IFERROR(IF(OR(N460="",R460="",J460=""),"",N460*R460*J460*2),"")</f>
        <v/>
      </c>
    </row>
    <row r="461">
      <c r="A461" t="n">
        <v>460</v>
      </c>
      <c r="G461" s="2" t="n"/>
      <c r="H461" s="2" t="n"/>
      <c r="I461" s="2" t="n"/>
      <c r="J461" s="3">
        <f>IFERROR(IF(OR(G461="",H461=""),"",ABS(G461-H461)),"")</f>
        <v/>
      </c>
      <c r="K461" s="2" t="n"/>
      <c r="L461" s="2" t="n"/>
      <c r="N461" s="4" t="n"/>
      <c r="O461" s="4" t="n"/>
      <c r="P461" s="4" t="n"/>
      <c r="Q461" s="2" t="n"/>
      <c r="S461" s="5">
        <f>IFERROR(IF(OR(N461="",R461="",J461=""),"",N461*R461*J461*2),"")</f>
        <v/>
      </c>
    </row>
    <row r="462">
      <c r="A462" t="n">
        <v>461</v>
      </c>
      <c r="G462" s="2" t="n"/>
      <c r="H462" s="2" t="n"/>
      <c r="I462" s="2" t="n"/>
      <c r="J462" s="3">
        <f>IFERROR(IF(OR(G462="",H462=""),"",ABS(G462-H462)),"")</f>
        <v/>
      </c>
      <c r="K462" s="2" t="n"/>
      <c r="L462" s="2" t="n"/>
      <c r="N462" s="4" t="n"/>
      <c r="O462" s="4" t="n"/>
      <c r="P462" s="4" t="n"/>
      <c r="Q462" s="2" t="n"/>
      <c r="S462" s="5">
        <f>IFERROR(IF(OR(N462="",R462="",J462=""),"",N462*R462*J462*2),"")</f>
        <v/>
      </c>
    </row>
    <row r="463">
      <c r="A463" t="n">
        <v>462</v>
      </c>
      <c r="G463" s="2" t="n"/>
      <c r="H463" s="2" t="n"/>
      <c r="I463" s="2" t="n"/>
      <c r="J463" s="3">
        <f>IFERROR(IF(OR(G463="",H463=""),"",ABS(G463-H463)),"")</f>
        <v/>
      </c>
      <c r="K463" s="2" t="n"/>
      <c r="L463" s="2" t="n"/>
      <c r="N463" s="4" t="n"/>
      <c r="O463" s="4" t="n"/>
      <c r="P463" s="4" t="n"/>
      <c r="Q463" s="2" t="n"/>
      <c r="S463" s="5">
        <f>IFERROR(IF(OR(N463="",R463="",J463=""),"",N463*R463*J463*2),"")</f>
        <v/>
      </c>
    </row>
    <row r="464">
      <c r="A464" t="n">
        <v>463</v>
      </c>
      <c r="G464" s="2" t="n"/>
      <c r="H464" s="2" t="n"/>
      <c r="I464" s="2" t="n"/>
      <c r="J464" s="3">
        <f>IFERROR(IF(OR(G464="",H464=""),"",ABS(G464-H464)),"")</f>
        <v/>
      </c>
      <c r="K464" s="2" t="n"/>
      <c r="L464" s="2" t="n"/>
      <c r="N464" s="4" t="n"/>
      <c r="O464" s="4" t="n"/>
      <c r="P464" s="4" t="n"/>
      <c r="Q464" s="2" t="n"/>
      <c r="S464" s="5">
        <f>IFERROR(IF(OR(N464="",R464="",J464=""),"",N464*R464*J464*2),"")</f>
        <v/>
      </c>
    </row>
    <row r="465">
      <c r="A465" t="n">
        <v>464</v>
      </c>
      <c r="G465" s="2" t="n"/>
      <c r="H465" s="2" t="n"/>
      <c r="I465" s="2" t="n"/>
      <c r="J465" s="3">
        <f>IFERROR(IF(OR(G465="",H465=""),"",ABS(G465-H465)),"")</f>
        <v/>
      </c>
      <c r="K465" s="2" t="n"/>
      <c r="L465" s="2" t="n"/>
      <c r="N465" s="4" t="n"/>
      <c r="O465" s="4" t="n"/>
      <c r="P465" s="4" t="n"/>
      <c r="Q465" s="2" t="n"/>
      <c r="S465" s="5">
        <f>IFERROR(IF(OR(N465="",R465="",J465=""),"",N465*R465*J465*2),"")</f>
        <v/>
      </c>
    </row>
    <row r="466">
      <c r="A466" t="n">
        <v>465</v>
      </c>
      <c r="G466" s="2" t="n"/>
      <c r="H466" s="2" t="n"/>
      <c r="I466" s="2" t="n"/>
      <c r="J466" s="3">
        <f>IFERROR(IF(OR(G466="",H466=""),"",ABS(G466-H466)),"")</f>
        <v/>
      </c>
      <c r="K466" s="2" t="n"/>
      <c r="L466" s="2" t="n"/>
      <c r="N466" s="4" t="n"/>
      <c r="O466" s="4" t="n"/>
      <c r="P466" s="4" t="n"/>
      <c r="Q466" s="2" t="n"/>
      <c r="S466" s="5">
        <f>IFERROR(IF(OR(N466="",R466="",J466=""),"",N466*R466*J466*2),"")</f>
        <v/>
      </c>
    </row>
    <row r="467">
      <c r="A467" t="n">
        <v>466</v>
      </c>
      <c r="G467" s="2" t="n"/>
      <c r="H467" s="2" t="n"/>
      <c r="I467" s="2" t="n"/>
      <c r="J467" s="3">
        <f>IFERROR(IF(OR(G467="",H467=""),"",ABS(G467-H467)),"")</f>
        <v/>
      </c>
      <c r="K467" s="2" t="n"/>
      <c r="L467" s="2" t="n"/>
      <c r="N467" s="4" t="n"/>
      <c r="O467" s="4" t="n"/>
      <c r="P467" s="4" t="n"/>
      <c r="Q467" s="2" t="n"/>
      <c r="S467" s="5">
        <f>IFERROR(IF(OR(N467="",R467="",J467=""),"",N467*R467*J467*2),"")</f>
        <v/>
      </c>
    </row>
    <row r="468">
      <c r="A468" t="n">
        <v>467</v>
      </c>
      <c r="G468" s="2" t="n"/>
      <c r="H468" s="2" t="n"/>
      <c r="I468" s="2" t="n"/>
      <c r="J468" s="3">
        <f>IFERROR(IF(OR(G468="",H468=""),"",ABS(G468-H468)),"")</f>
        <v/>
      </c>
      <c r="K468" s="2" t="n"/>
      <c r="L468" s="2" t="n"/>
      <c r="N468" s="4" t="n"/>
      <c r="O468" s="4" t="n"/>
      <c r="P468" s="4" t="n"/>
      <c r="Q468" s="2" t="n"/>
      <c r="S468" s="5">
        <f>IFERROR(IF(OR(N468="",R468="",J468=""),"",N468*R468*J468*2),"")</f>
        <v/>
      </c>
    </row>
    <row r="469">
      <c r="A469" t="n">
        <v>468</v>
      </c>
      <c r="G469" s="2" t="n"/>
      <c r="H469" s="2" t="n"/>
      <c r="I469" s="2" t="n"/>
      <c r="J469" s="3">
        <f>IFERROR(IF(OR(G469="",H469=""),"",ABS(G469-H469)),"")</f>
        <v/>
      </c>
      <c r="K469" s="2" t="n"/>
      <c r="L469" s="2" t="n"/>
      <c r="N469" s="4" t="n"/>
      <c r="O469" s="4" t="n"/>
      <c r="P469" s="4" t="n"/>
      <c r="Q469" s="2" t="n"/>
      <c r="S469" s="5">
        <f>IFERROR(IF(OR(N469="",R469="",J469=""),"",N469*R469*J469*2),"")</f>
        <v/>
      </c>
    </row>
    <row r="470">
      <c r="A470" t="n">
        <v>469</v>
      </c>
      <c r="G470" s="2" t="n"/>
      <c r="H470" s="2" t="n"/>
      <c r="I470" s="2" t="n"/>
      <c r="J470" s="3">
        <f>IFERROR(IF(OR(G470="",H470=""),"",ABS(G470-H470)),"")</f>
        <v/>
      </c>
      <c r="K470" s="2" t="n"/>
      <c r="L470" s="2" t="n"/>
      <c r="N470" s="4" t="n"/>
      <c r="O470" s="4" t="n"/>
      <c r="P470" s="4" t="n"/>
      <c r="Q470" s="2" t="n"/>
      <c r="S470" s="5">
        <f>IFERROR(IF(OR(N470="",R470="",J470=""),"",N470*R470*J470*2),"")</f>
        <v/>
      </c>
    </row>
    <row r="471">
      <c r="A471" t="n">
        <v>470</v>
      </c>
      <c r="G471" s="2" t="n"/>
      <c r="H471" s="2" t="n"/>
      <c r="I471" s="2" t="n"/>
      <c r="J471" s="3">
        <f>IFERROR(IF(OR(G471="",H471=""),"",ABS(G471-H471)),"")</f>
        <v/>
      </c>
      <c r="K471" s="2" t="n"/>
      <c r="L471" s="2" t="n"/>
      <c r="N471" s="4" t="n"/>
      <c r="O471" s="4" t="n"/>
      <c r="P471" s="4" t="n"/>
      <c r="Q471" s="2" t="n"/>
      <c r="S471" s="5">
        <f>IFERROR(IF(OR(N471="",R471="",J471=""),"",N471*R471*J471*2),"")</f>
        <v/>
      </c>
    </row>
    <row r="472">
      <c r="A472" t="n">
        <v>471</v>
      </c>
      <c r="G472" s="2" t="n"/>
      <c r="H472" s="2" t="n"/>
      <c r="I472" s="2" t="n"/>
      <c r="J472" s="3">
        <f>IFERROR(IF(OR(G472="",H472=""),"",ABS(G472-H472)),"")</f>
        <v/>
      </c>
      <c r="K472" s="2" t="n"/>
      <c r="L472" s="2" t="n"/>
      <c r="N472" s="4" t="n"/>
      <c r="O472" s="4" t="n"/>
      <c r="P472" s="4" t="n"/>
      <c r="Q472" s="2" t="n"/>
      <c r="S472" s="5">
        <f>IFERROR(IF(OR(N472="",R472="",J472=""),"",N472*R472*J472*2),"")</f>
        <v/>
      </c>
    </row>
    <row r="473">
      <c r="A473" t="n">
        <v>472</v>
      </c>
      <c r="G473" s="2" t="n"/>
      <c r="H473" s="2" t="n"/>
      <c r="I473" s="2" t="n"/>
      <c r="J473" s="3">
        <f>IFERROR(IF(OR(G473="",H473=""),"",ABS(G473-H473)),"")</f>
        <v/>
      </c>
      <c r="K473" s="2" t="n"/>
      <c r="L473" s="2" t="n"/>
      <c r="N473" s="4" t="n"/>
      <c r="O473" s="4" t="n"/>
      <c r="P473" s="4" t="n"/>
      <c r="Q473" s="2" t="n"/>
      <c r="S473" s="5">
        <f>IFERROR(IF(OR(N473="",R473="",J473=""),"",N473*R473*J473*2),"")</f>
        <v/>
      </c>
    </row>
    <row r="474">
      <c r="A474" t="n">
        <v>473</v>
      </c>
      <c r="G474" s="2" t="n"/>
      <c r="H474" s="2" t="n"/>
      <c r="I474" s="2" t="n"/>
      <c r="J474" s="3">
        <f>IFERROR(IF(OR(G474="",H474=""),"",ABS(G474-H474)),"")</f>
        <v/>
      </c>
      <c r="K474" s="2" t="n"/>
      <c r="L474" s="2" t="n"/>
      <c r="N474" s="4" t="n"/>
      <c r="O474" s="4" t="n"/>
      <c r="P474" s="4" t="n"/>
      <c r="Q474" s="2" t="n"/>
      <c r="S474" s="5">
        <f>IFERROR(IF(OR(N474="",R474="",J474=""),"",N474*R474*J474*2),"")</f>
        <v/>
      </c>
    </row>
    <row r="475">
      <c r="A475" t="n">
        <v>474</v>
      </c>
      <c r="G475" s="2" t="n"/>
      <c r="H475" s="2" t="n"/>
      <c r="I475" s="2" t="n"/>
      <c r="J475" s="3">
        <f>IFERROR(IF(OR(G475="",H475=""),"",ABS(G475-H475)),"")</f>
        <v/>
      </c>
      <c r="K475" s="2" t="n"/>
      <c r="L475" s="2" t="n"/>
      <c r="N475" s="4" t="n"/>
      <c r="O475" s="4" t="n"/>
      <c r="P475" s="4" t="n"/>
      <c r="Q475" s="2" t="n"/>
      <c r="S475" s="5">
        <f>IFERROR(IF(OR(N475="",R475="",J475=""),"",N475*R475*J475*2),"")</f>
        <v/>
      </c>
    </row>
    <row r="476">
      <c r="A476" t="n">
        <v>475</v>
      </c>
      <c r="G476" s="2" t="n"/>
      <c r="H476" s="2" t="n"/>
      <c r="I476" s="2" t="n"/>
      <c r="J476" s="3">
        <f>IFERROR(IF(OR(G476="",H476=""),"",ABS(G476-H476)),"")</f>
        <v/>
      </c>
      <c r="K476" s="2" t="n"/>
      <c r="L476" s="2" t="n"/>
      <c r="N476" s="4" t="n"/>
      <c r="O476" s="4" t="n"/>
      <c r="P476" s="4" t="n"/>
      <c r="Q476" s="2" t="n"/>
      <c r="S476" s="5">
        <f>IFERROR(IF(OR(N476="",R476="",J476=""),"",N476*R476*J476*2),"")</f>
        <v/>
      </c>
    </row>
    <row r="477">
      <c r="A477" t="n">
        <v>476</v>
      </c>
      <c r="G477" s="2" t="n"/>
      <c r="H477" s="2" t="n"/>
      <c r="I477" s="2" t="n"/>
      <c r="J477" s="3">
        <f>IFERROR(IF(OR(G477="",H477=""),"",ABS(G477-H477)),"")</f>
        <v/>
      </c>
      <c r="K477" s="2" t="n"/>
      <c r="L477" s="2" t="n"/>
      <c r="N477" s="4" t="n"/>
      <c r="O477" s="4" t="n"/>
      <c r="P477" s="4" t="n"/>
      <c r="Q477" s="2" t="n"/>
      <c r="S477" s="5">
        <f>IFERROR(IF(OR(N477="",R477="",J477=""),"",N477*R477*J477*2),"")</f>
        <v/>
      </c>
    </row>
    <row r="478">
      <c r="A478" t="n">
        <v>477</v>
      </c>
      <c r="G478" s="2" t="n"/>
      <c r="H478" s="2" t="n"/>
      <c r="I478" s="2" t="n"/>
      <c r="J478" s="3">
        <f>IFERROR(IF(OR(G478="",H478=""),"",ABS(G478-H478)),"")</f>
        <v/>
      </c>
      <c r="K478" s="2" t="n"/>
      <c r="L478" s="2" t="n"/>
      <c r="N478" s="4" t="n"/>
      <c r="O478" s="4" t="n"/>
      <c r="P478" s="4" t="n"/>
      <c r="Q478" s="2" t="n"/>
      <c r="S478" s="5">
        <f>IFERROR(IF(OR(N478="",R478="",J478=""),"",N478*R478*J478*2),"")</f>
        <v/>
      </c>
    </row>
    <row r="479">
      <c r="A479" t="n">
        <v>478</v>
      </c>
      <c r="G479" s="2" t="n"/>
      <c r="H479" s="2" t="n"/>
      <c r="I479" s="2" t="n"/>
      <c r="J479" s="3">
        <f>IFERROR(IF(OR(G479="",H479=""),"",ABS(G479-H479)),"")</f>
        <v/>
      </c>
      <c r="K479" s="2" t="n"/>
      <c r="L479" s="2" t="n"/>
      <c r="N479" s="4" t="n"/>
      <c r="O479" s="4" t="n"/>
      <c r="P479" s="4" t="n"/>
      <c r="Q479" s="2" t="n"/>
      <c r="S479" s="5">
        <f>IFERROR(IF(OR(N479="",R479="",J479=""),"",N479*R479*J479*2),"")</f>
        <v/>
      </c>
    </row>
    <row r="480">
      <c r="A480" t="n">
        <v>479</v>
      </c>
      <c r="G480" s="2" t="n"/>
      <c r="H480" s="2" t="n"/>
      <c r="I480" s="2" t="n"/>
      <c r="J480" s="3">
        <f>IFERROR(IF(OR(G480="",H480=""),"",ABS(G480-H480)),"")</f>
        <v/>
      </c>
      <c r="K480" s="2" t="n"/>
      <c r="L480" s="2" t="n"/>
      <c r="N480" s="4" t="n"/>
      <c r="O480" s="4" t="n"/>
      <c r="P480" s="4" t="n"/>
      <c r="Q480" s="2" t="n"/>
      <c r="S480" s="5">
        <f>IFERROR(IF(OR(N480="",R480="",J480=""),"",N480*R480*J480*2),"")</f>
        <v/>
      </c>
    </row>
    <row r="481">
      <c r="A481" t="n">
        <v>480</v>
      </c>
      <c r="G481" s="2" t="n"/>
      <c r="H481" s="2" t="n"/>
      <c r="I481" s="2" t="n"/>
      <c r="J481" s="3">
        <f>IFERROR(IF(OR(G481="",H481=""),"",ABS(G481-H481)),"")</f>
        <v/>
      </c>
      <c r="K481" s="2" t="n"/>
      <c r="L481" s="2" t="n"/>
      <c r="N481" s="4" t="n"/>
      <c r="O481" s="4" t="n"/>
      <c r="P481" s="4" t="n"/>
      <c r="Q481" s="2" t="n"/>
      <c r="S481" s="5">
        <f>IFERROR(IF(OR(N481="",R481="",J481=""),"",N481*R481*J481*2),"")</f>
        <v/>
      </c>
    </row>
    <row r="482">
      <c r="A482" t="n">
        <v>481</v>
      </c>
      <c r="G482" s="2" t="n"/>
      <c r="H482" s="2" t="n"/>
      <c r="I482" s="2" t="n"/>
      <c r="J482" s="3">
        <f>IFERROR(IF(OR(G482="",H482=""),"",ABS(G482-H482)),"")</f>
        <v/>
      </c>
      <c r="K482" s="2" t="n"/>
      <c r="L482" s="2" t="n"/>
      <c r="N482" s="4" t="n"/>
      <c r="O482" s="4" t="n"/>
      <c r="P482" s="4" t="n"/>
      <c r="Q482" s="2" t="n"/>
      <c r="S482" s="5">
        <f>IFERROR(IF(OR(N482="",R482="",J482=""),"",N482*R482*J482*2),"")</f>
        <v/>
      </c>
    </row>
    <row r="483">
      <c r="A483" t="n">
        <v>482</v>
      </c>
      <c r="G483" s="2" t="n"/>
      <c r="H483" s="2" t="n"/>
      <c r="I483" s="2" t="n"/>
      <c r="J483" s="3">
        <f>IFERROR(IF(OR(G483="",H483=""),"",ABS(G483-H483)),"")</f>
        <v/>
      </c>
      <c r="K483" s="2" t="n"/>
      <c r="L483" s="2" t="n"/>
      <c r="N483" s="4" t="n"/>
      <c r="O483" s="4" t="n"/>
      <c r="P483" s="4" t="n"/>
      <c r="Q483" s="2" t="n"/>
      <c r="S483" s="5">
        <f>IFERROR(IF(OR(N483="",R483="",J483=""),"",N483*R483*J483*2),"")</f>
        <v/>
      </c>
    </row>
    <row r="484">
      <c r="A484" t="n">
        <v>483</v>
      </c>
      <c r="G484" s="2" t="n"/>
      <c r="H484" s="2" t="n"/>
      <c r="I484" s="2" t="n"/>
      <c r="J484" s="3">
        <f>IFERROR(IF(OR(G484="",H484=""),"",ABS(G484-H484)),"")</f>
        <v/>
      </c>
      <c r="K484" s="2" t="n"/>
      <c r="L484" s="2" t="n"/>
      <c r="N484" s="4" t="n"/>
      <c r="O484" s="4" t="n"/>
      <c r="P484" s="4" t="n"/>
      <c r="Q484" s="2" t="n"/>
      <c r="S484" s="5">
        <f>IFERROR(IF(OR(N484="",R484="",J484=""),"",N484*R484*J484*2),"")</f>
        <v/>
      </c>
    </row>
    <row r="485">
      <c r="A485" t="n">
        <v>484</v>
      </c>
      <c r="G485" s="2" t="n"/>
      <c r="H485" s="2" t="n"/>
      <c r="I485" s="2" t="n"/>
      <c r="J485" s="3">
        <f>IFERROR(IF(OR(G485="",H485=""),"",ABS(G485-H485)),"")</f>
        <v/>
      </c>
      <c r="K485" s="2" t="n"/>
      <c r="L485" s="2" t="n"/>
      <c r="N485" s="4" t="n"/>
      <c r="O485" s="4" t="n"/>
      <c r="P485" s="4" t="n"/>
      <c r="Q485" s="2" t="n"/>
      <c r="S485" s="5">
        <f>IFERROR(IF(OR(N485="",R485="",J485=""),"",N485*R485*J485*2),"")</f>
        <v/>
      </c>
    </row>
    <row r="486">
      <c r="A486" t="n">
        <v>485</v>
      </c>
      <c r="G486" s="2" t="n"/>
      <c r="H486" s="2" t="n"/>
      <c r="I486" s="2" t="n"/>
      <c r="J486" s="3">
        <f>IFERROR(IF(OR(G486="",H486=""),"",ABS(G486-H486)),"")</f>
        <v/>
      </c>
      <c r="K486" s="2" t="n"/>
      <c r="L486" s="2" t="n"/>
      <c r="N486" s="4" t="n"/>
      <c r="O486" s="4" t="n"/>
      <c r="P486" s="4" t="n"/>
      <c r="Q486" s="2" t="n"/>
      <c r="S486" s="5">
        <f>IFERROR(IF(OR(N486="",R486="",J486=""),"",N486*R486*J486*2),"")</f>
        <v/>
      </c>
    </row>
    <row r="487">
      <c r="A487" t="n">
        <v>486</v>
      </c>
      <c r="G487" s="2" t="n"/>
      <c r="H487" s="2" t="n"/>
      <c r="I487" s="2" t="n"/>
      <c r="J487" s="3">
        <f>IFERROR(IF(OR(G487="",H487=""),"",ABS(G487-H487)),"")</f>
        <v/>
      </c>
      <c r="K487" s="2" t="n"/>
      <c r="L487" s="2" t="n"/>
      <c r="N487" s="4" t="n"/>
      <c r="O487" s="4" t="n"/>
      <c r="P487" s="4" t="n"/>
      <c r="Q487" s="2" t="n"/>
      <c r="S487" s="5">
        <f>IFERROR(IF(OR(N487="",R487="",J487=""),"",N487*R487*J487*2),"")</f>
        <v/>
      </c>
    </row>
    <row r="488">
      <c r="A488" t="n">
        <v>487</v>
      </c>
      <c r="G488" s="2" t="n"/>
      <c r="H488" s="2" t="n"/>
      <c r="I488" s="2" t="n"/>
      <c r="J488" s="3">
        <f>IFERROR(IF(OR(G488="",H488=""),"",ABS(G488-H488)),"")</f>
        <v/>
      </c>
      <c r="K488" s="2" t="n"/>
      <c r="L488" s="2" t="n"/>
      <c r="N488" s="4" t="n"/>
      <c r="O488" s="4" t="n"/>
      <c r="P488" s="4" t="n"/>
      <c r="Q488" s="2" t="n"/>
      <c r="S488" s="5">
        <f>IFERROR(IF(OR(N488="",R488="",J488=""),"",N488*R488*J488*2),"")</f>
        <v/>
      </c>
    </row>
    <row r="489">
      <c r="A489" t="n">
        <v>488</v>
      </c>
      <c r="G489" s="2" t="n"/>
      <c r="H489" s="2" t="n"/>
      <c r="I489" s="2" t="n"/>
      <c r="J489" s="3">
        <f>IFERROR(IF(OR(G489="",H489=""),"",ABS(G489-H489)),"")</f>
        <v/>
      </c>
      <c r="K489" s="2" t="n"/>
      <c r="L489" s="2" t="n"/>
      <c r="N489" s="4" t="n"/>
      <c r="O489" s="4" t="n"/>
      <c r="P489" s="4" t="n"/>
      <c r="Q489" s="2" t="n"/>
      <c r="S489" s="5">
        <f>IFERROR(IF(OR(N489="",R489="",J489=""),"",N489*R489*J489*2),"")</f>
        <v/>
      </c>
    </row>
    <row r="490">
      <c r="A490" t="n">
        <v>489</v>
      </c>
      <c r="G490" s="2" t="n"/>
      <c r="H490" s="2" t="n"/>
      <c r="I490" s="2" t="n"/>
      <c r="J490" s="3">
        <f>IFERROR(IF(OR(G490="",H490=""),"",ABS(G490-H490)),"")</f>
        <v/>
      </c>
      <c r="K490" s="2" t="n"/>
      <c r="L490" s="2" t="n"/>
      <c r="N490" s="4" t="n"/>
      <c r="O490" s="4" t="n"/>
      <c r="P490" s="4" t="n"/>
      <c r="Q490" s="2" t="n"/>
      <c r="S490" s="5">
        <f>IFERROR(IF(OR(N490="",R490="",J490=""),"",N490*R490*J490*2),"")</f>
        <v/>
      </c>
    </row>
    <row r="491">
      <c r="A491" t="n">
        <v>490</v>
      </c>
      <c r="G491" s="2" t="n"/>
      <c r="H491" s="2" t="n"/>
      <c r="I491" s="2" t="n"/>
      <c r="J491" s="3">
        <f>IFERROR(IF(OR(G491="",H491=""),"",ABS(G491-H491)),"")</f>
        <v/>
      </c>
      <c r="K491" s="2" t="n"/>
      <c r="L491" s="2" t="n"/>
      <c r="N491" s="4" t="n"/>
      <c r="O491" s="4" t="n"/>
      <c r="P491" s="4" t="n"/>
      <c r="Q491" s="2" t="n"/>
      <c r="S491" s="5">
        <f>IFERROR(IF(OR(N491="",R491="",J491=""),"",N491*R491*J491*2),"")</f>
        <v/>
      </c>
    </row>
    <row r="492">
      <c r="A492" t="n">
        <v>491</v>
      </c>
      <c r="G492" s="2" t="n"/>
      <c r="H492" s="2" t="n"/>
      <c r="I492" s="2" t="n"/>
      <c r="J492" s="3">
        <f>IFERROR(IF(OR(G492="",H492=""),"",ABS(G492-H492)),"")</f>
        <v/>
      </c>
      <c r="K492" s="2" t="n"/>
      <c r="L492" s="2" t="n"/>
      <c r="N492" s="4" t="n"/>
      <c r="O492" s="4" t="n"/>
      <c r="P492" s="4" t="n"/>
      <c r="Q492" s="2" t="n"/>
      <c r="S492" s="5">
        <f>IFERROR(IF(OR(N492="",R492="",J492=""),"",N492*R492*J492*2),"")</f>
        <v/>
      </c>
    </row>
    <row r="493">
      <c r="A493" t="n">
        <v>492</v>
      </c>
      <c r="G493" s="2" t="n"/>
      <c r="H493" s="2" t="n"/>
      <c r="I493" s="2" t="n"/>
      <c r="J493" s="3">
        <f>IFERROR(IF(OR(G493="",H493=""),"",ABS(G493-H493)),"")</f>
        <v/>
      </c>
      <c r="K493" s="2" t="n"/>
      <c r="L493" s="2" t="n"/>
      <c r="N493" s="4" t="n"/>
      <c r="O493" s="4" t="n"/>
      <c r="P493" s="4" t="n"/>
      <c r="Q493" s="2" t="n"/>
      <c r="S493" s="5">
        <f>IFERROR(IF(OR(N493="",R493="",J493=""),"",N493*R493*J493*2),"")</f>
        <v/>
      </c>
    </row>
    <row r="494">
      <c r="A494" t="n">
        <v>493</v>
      </c>
      <c r="G494" s="2" t="n"/>
      <c r="H494" s="2" t="n"/>
      <c r="I494" s="2" t="n"/>
      <c r="J494" s="3">
        <f>IFERROR(IF(OR(G494="",H494=""),"",ABS(G494-H494)),"")</f>
        <v/>
      </c>
      <c r="K494" s="2" t="n"/>
      <c r="L494" s="2" t="n"/>
      <c r="N494" s="4" t="n"/>
      <c r="O494" s="4" t="n"/>
      <c r="P494" s="4" t="n"/>
      <c r="Q494" s="2" t="n"/>
      <c r="S494" s="5">
        <f>IFERROR(IF(OR(N494="",R494="",J494=""),"",N494*R494*J494*2),"")</f>
        <v/>
      </c>
    </row>
    <row r="495">
      <c r="A495" t="n">
        <v>494</v>
      </c>
      <c r="G495" s="2" t="n"/>
      <c r="H495" s="2" t="n"/>
      <c r="I495" s="2" t="n"/>
      <c r="J495" s="3">
        <f>IFERROR(IF(OR(G495="",H495=""),"",ABS(G495-H495)),"")</f>
        <v/>
      </c>
      <c r="K495" s="2" t="n"/>
      <c r="L495" s="2" t="n"/>
      <c r="N495" s="4" t="n"/>
      <c r="O495" s="4" t="n"/>
      <c r="P495" s="4" t="n"/>
      <c r="Q495" s="2" t="n"/>
      <c r="S495" s="5">
        <f>IFERROR(IF(OR(N495="",R495="",J495=""),"",N495*R495*J495*2),"")</f>
        <v/>
      </c>
    </row>
    <row r="496">
      <c r="A496" t="n">
        <v>495</v>
      </c>
      <c r="G496" s="2" t="n"/>
      <c r="H496" s="2" t="n"/>
      <c r="I496" s="2" t="n"/>
      <c r="J496" s="3">
        <f>IFERROR(IF(OR(G496="",H496=""),"",ABS(G496-H496)),"")</f>
        <v/>
      </c>
      <c r="K496" s="2" t="n"/>
      <c r="L496" s="2" t="n"/>
      <c r="N496" s="4" t="n"/>
      <c r="O496" s="4" t="n"/>
      <c r="P496" s="4" t="n"/>
      <c r="Q496" s="2" t="n"/>
      <c r="S496" s="5">
        <f>IFERROR(IF(OR(N496="",R496="",J496=""),"",N496*R496*J496*2),"")</f>
        <v/>
      </c>
    </row>
    <row r="497">
      <c r="A497" t="n">
        <v>496</v>
      </c>
      <c r="G497" s="2" t="n"/>
      <c r="H497" s="2" t="n"/>
      <c r="I497" s="2" t="n"/>
      <c r="J497" s="3">
        <f>IFERROR(IF(OR(G497="",H497=""),"",ABS(G497-H497)),"")</f>
        <v/>
      </c>
      <c r="K497" s="2" t="n"/>
      <c r="L497" s="2" t="n"/>
      <c r="N497" s="4" t="n"/>
      <c r="O497" s="4" t="n"/>
      <c r="P497" s="4" t="n"/>
      <c r="Q497" s="2" t="n"/>
      <c r="S497" s="5">
        <f>IFERROR(IF(OR(N497="",R497="",J497=""),"",N497*R497*J497*2),"")</f>
        <v/>
      </c>
    </row>
    <row r="498">
      <c r="A498" t="n">
        <v>497</v>
      </c>
      <c r="G498" s="2" t="n"/>
      <c r="H498" s="2" t="n"/>
      <c r="I498" s="2" t="n"/>
      <c r="J498" s="3">
        <f>IFERROR(IF(OR(G498="",H498=""),"",ABS(G498-H498)),"")</f>
        <v/>
      </c>
      <c r="K498" s="2" t="n"/>
      <c r="L498" s="2" t="n"/>
      <c r="N498" s="4" t="n"/>
      <c r="O498" s="4" t="n"/>
      <c r="P498" s="4" t="n"/>
      <c r="Q498" s="2" t="n"/>
      <c r="S498" s="5">
        <f>IFERROR(IF(OR(N498="",R498="",J498=""),"",N498*R498*J498*2),"")</f>
        <v/>
      </c>
    </row>
    <row r="499">
      <c r="A499" t="n">
        <v>498</v>
      </c>
      <c r="G499" s="2" t="n"/>
      <c r="H499" s="2" t="n"/>
      <c r="I499" s="2" t="n"/>
      <c r="J499" s="3">
        <f>IFERROR(IF(OR(G499="",H499=""),"",ABS(G499-H499)),"")</f>
        <v/>
      </c>
      <c r="K499" s="2" t="n"/>
      <c r="L499" s="2" t="n"/>
      <c r="N499" s="4" t="n"/>
      <c r="O499" s="4" t="n"/>
      <c r="P499" s="4" t="n"/>
      <c r="Q499" s="2" t="n"/>
      <c r="S499" s="5">
        <f>IFERROR(IF(OR(N499="",R499="",J499=""),"",N499*R499*J499*2),"")</f>
        <v/>
      </c>
    </row>
    <row r="500">
      <c r="A500" t="n">
        <v>499</v>
      </c>
      <c r="G500" s="2" t="n"/>
      <c r="H500" s="2" t="n"/>
      <c r="I500" s="2" t="n"/>
      <c r="J500" s="3">
        <f>IFERROR(IF(OR(G500="",H500=""),"",ABS(G500-H500)),"")</f>
        <v/>
      </c>
      <c r="K500" s="2" t="n"/>
      <c r="L500" s="2" t="n"/>
      <c r="N500" s="4" t="n"/>
      <c r="O500" s="4" t="n"/>
      <c r="P500" s="4" t="n"/>
      <c r="Q500" s="2" t="n"/>
      <c r="S500" s="5">
        <f>IFERROR(IF(OR(N500="",R500="",J500=""),"",N500*R500*J500*2),"")</f>
        <v/>
      </c>
    </row>
    <row r="501">
      <c r="A501" t="n">
        <v>500</v>
      </c>
      <c r="G501" s="2" t="n"/>
      <c r="H501" s="2" t="n"/>
      <c r="I501" s="2" t="n"/>
      <c r="J501" s="3">
        <f>IFERROR(IF(OR(G501="",H501=""),"",ABS(G501-H501)),"")</f>
        <v/>
      </c>
      <c r="K501" s="2" t="n"/>
      <c r="L501" s="2" t="n"/>
      <c r="N501" s="4" t="n"/>
      <c r="O501" s="4" t="n"/>
      <c r="P501" s="4" t="n"/>
      <c r="Q501" s="2" t="n"/>
      <c r="S501" s="5">
        <f>IFERROR(IF(OR(N501="",R501="",J501=""),"",N501*R501*J501*2),"")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24" customWidth="1" min="4" max="4"/>
    <col width="14" customWidth="1" min="5" max="5"/>
    <col width="14" customWidth="1" min="6" max="6"/>
  </cols>
  <sheetData>
    <row r="1">
      <c r="A1" s="6" t="inlineStr">
        <is>
          <t>Fractal Sweep — Forward-Test Summary</t>
        </is>
      </c>
    </row>
    <row r="2">
      <c r="A2" s="7" t="inlineStr">
        <is>
          <t>Auto-updates from the Trades tab. Only WIN/LOSS rows count toward stats; SKIPPED and BE excluded from WR/EV.</t>
        </is>
      </c>
    </row>
    <row r="4">
      <c r="A4" s="8" t="inlineStr">
        <is>
          <t>Headline stats</t>
        </is>
      </c>
      <c r="D4" s="8" t="inlineStr">
        <is>
          <t>Rolling windows</t>
        </is>
      </c>
    </row>
    <row r="5">
      <c r="A5" s="9" t="inlineStr">
        <is>
          <t>Total trades logged</t>
        </is>
      </c>
      <c r="B5" s="10">
        <f>COUNTA(Trades!N2:N501)</f>
        <v/>
      </c>
      <c r="D5" s="9" t="inlineStr">
        <is>
          <t>Last 30 — WR</t>
        </is>
      </c>
      <c r="E5" s="11">
        <f>IFERROR(COUNTIFS(OFFSET(Trades!M2,MAX(0,COUNTA(Trades!M2:M501)-30),0,MIN(30,COUNTA(Trades!M2:M501)),1),"WIN")/(COUNTIFS(OFFSET(Trades!M2,MAX(0,COUNTA(Trades!M2:M501)-30),0,MIN(30,COUNTA(Trades!M2:M501)),1),"WIN")+COUNTIFS(OFFSET(Trades!M2,MAX(0,COUNTA(Trades!M2:M501)-30),0,MIN(30,COUNTA(Trades!M2:M501)),1),"LOSS")),0)</f>
        <v/>
      </c>
    </row>
    <row r="6">
      <c r="A6" s="9" t="inlineStr">
        <is>
          <t>Wins</t>
        </is>
      </c>
      <c r="B6" s="10">
        <f>COUNTIF(Trades!M2:M501,"WIN")</f>
        <v/>
      </c>
      <c r="D6" s="9" t="inlineStr">
        <is>
          <t>Last 30 — EV</t>
        </is>
      </c>
      <c r="E6" s="12">
        <f>IFERROR(SUMPRODUCT(OFFSET(Trades!N2,MAX(0,COUNTA(Trades!M2:M501)-30),0,MIN(30,COUNTA(Trades!M2:M501)),1))/MIN(30,COUNTA(Trades!M2:M501)),0)</f>
        <v/>
      </c>
    </row>
    <row r="7">
      <c r="A7" s="9" t="inlineStr">
        <is>
          <t>Losses</t>
        </is>
      </c>
      <c r="B7" s="10">
        <f>COUNTIF(Trades!M2:M501,"LOSS")</f>
        <v/>
      </c>
      <c r="D7" s="9" t="inlineStr">
        <is>
          <t>Last 50 — WR</t>
        </is>
      </c>
      <c r="E7" s="11">
        <f>IFERROR(COUNTIFS(OFFSET(Trades!M2,MAX(0,COUNTA(Trades!M2:M501)-50),0,MIN(50,COUNTA(Trades!M2:M501)),1),"WIN")/(COUNTIFS(OFFSET(Trades!M2,MAX(0,COUNTA(Trades!M2:M501)-50),0,MIN(50,COUNTA(Trades!M2:M501)),1),"WIN")+COUNTIFS(OFFSET(Trades!M2,MAX(0,COUNTA(Trades!M2:M501)-50),0,MIN(50,COUNTA(Trades!M2:M501)),1),"LOSS")),0)</f>
        <v/>
      </c>
    </row>
    <row r="8">
      <c r="A8" s="9" t="inlineStr">
        <is>
          <t>Breakevens</t>
        </is>
      </c>
      <c r="B8" s="10">
        <f>COUNTIF(Trades!M2:M501,"BE")</f>
        <v/>
      </c>
      <c r="D8" s="9" t="inlineStr">
        <is>
          <t>Last 50 — EV</t>
        </is>
      </c>
      <c r="E8" s="12">
        <f>IFERROR(SUMPRODUCT(OFFSET(Trades!N2,MAX(0,COUNTA(Trades!M2:M501)-50),0,MIN(50,COUNTA(Trades!M2:M501)),1))/MIN(50,COUNTA(Trades!M2:M501)),0)</f>
        <v/>
      </c>
    </row>
    <row r="9">
      <c r="A9" s="9" t="inlineStr">
        <is>
          <t>Skipped</t>
        </is>
      </c>
      <c r="B9" s="10">
        <f>COUNTIF(Trades!M2:M501,"SKIPPED")</f>
        <v/>
      </c>
      <c r="D9" s="9" t="inlineStr">
        <is>
          <t>Last 100 — WR</t>
        </is>
      </c>
      <c r="E9" s="11">
        <f>IFERROR(COUNTIFS(OFFSET(Trades!M2,MAX(0,COUNTA(Trades!M2:M501)-100),0,MIN(100,COUNTA(Trades!M2:M501)),1),"WIN")/(COUNTIFS(OFFSET(Trades!M2,MAX(0,COUNTA(Trades!M2:M501)-100),0,MIN(100,COUNTA(Trades!M2:M501)),1),"WIN")+COUNTIFS(OFFSET(Trades!M2,MAX(0,COUNTA(Trades!M2:M501)-100),0,MIN(100,COUNTA(Trades!M2:M501)),1),"LOSS")),0)</f>
        <v/>
      </c>
    </row>
    <row r="10">
      <c r="A10" s="9" t="inlineStr">
        <is>
          <t>Win rate (excl BE)</t>
        </is>
      </c>
      <c r="B10" s="11">
        <f>IFERROR(B6/(B6+B7),0)</f>
        <v/>
      </c>
      <c r="D10" s="9" t="inlineStr">
        <is>
          <t>Last 100 — EV</t>
        </is>
      </c>
      <c r="E10" s="12">
        <f>IFERROR(SUMPRODUCT(OFFSET(Trades!N2,MAX(0,COUNTA(Trades!M2:M501)-100),0,MIN(100,COUNTA(Trades!M2:M501)),1))/MIN(100,COUNTA(Trades!M2:M501)),0)</f>
        <v/>
      </c>
    </row>
    <row r="11">
      <c r="A11" s="9" t="inlineStr">
        <is>
          <t>Avg R per trade (EV)</t>
        </is>
      </c>
      <c r="B11" s="12">
        <f>IFERROR(SUM(Trades!N2:N501)/(B6+B7+B8),0)</f>
        <v/>
      </c>
    </row>
    <row r="12">
      <c r="A12" s="9" t="inlineStr">
        <is>
          <t>Profit factor</t>
        </is>
      </c>
      <c r="B12" s="13">
        <f>IFERROR(SUMIF(Trades!N2:N501,"&gt;0")/ABS(SUMIF(Trades!N2:N501,"&lt;0")),0)</f>
        <v/>
      </c>
      <c r="E12" s="9" t="inlineStr">
        <is>
          <t>running_R</t>
        </is>
      </c>
      <c r="F12" s="9" t="inlineStr">
        <is>
          <t>drawdown_R</t>
        </is>
      </c>
    </row>
    <row r="13">
      <c r="A13" s="9" t="inlineStr">
        <is>
          <t>Total R</t>
        </is>
      </c>
      <c r="B13" s="14">
        <f>SUM(Trades!N2:N501)</f>
        <v/>
      </c>
      <c r="E13" s="4">
        <f>IF(OR(Trades!M2="WIN",Trades!M2="LOSS"),Trades!N2,0)</f>
        <v/>
      </c>
      <c r="F13" s="15">
        <f>MIN(0,E13-MAX($E$13:E13))</f>
        <v/>
      </c>
    </row>
    <row r="14">
      <c r="A14" s="9" t="inlineStr">
        <is>
          <t>Total P&amp;L ($)</t>
        </is>
      </c>
      <c r="B14" s="16">
        <f>SUM(Trades!S2:S501)</f>
        <v/>
      </c>
      <c r="E14" s="4">
        <f>IF(OR(Trades!M3="WIN",Trades!M3="LOSS"),E13+Trades!N3,E13)</f>
        <v/>
      </c>
      <c r="F14" s="15">
        <f>MIN(0,E14-MAX($E$13:E14))</f>
        <v/>
      </c>
    </row>
    <row r="15">
      <c r="A15" s="9" t="inlineStr">
        <is>
          <t>Max drawdown (R)</t>
        </is>
      </c>
      <c r="B15" s="13">
        <f>IFERROR(MIN(F13:F512),0)</f>
        <v/>
      </c>
      <c r="E15" s="4">
        <f>IF(OR(Trades!M4="WIN",Trades!M4="LOSS"),E14+Trades!N4,E14)</f>
        <v/>
      </c>
      <c r="F15" s="15">
        <f>MIN(0,E15-MAX($E$13:E15))</f>
        <v/>
      </c>
    </row>
    <row r="16">
      <c r="A16" s="8" t="inlineStr">
        <is>
          <t>Forward-test status</t>
        </is>
      </c>
      <c r="E16" s="4">
        <f>IF(OR(Trades!M5="WIN",Trades!M5="LOSS"),E15+Trades!N5,E15)</f>
        <v/>
      </c>
      <c r="F16" s="15">
        <f>MIN(0,E16-MAX($E$13:E16))</f>
        <v/>
      </c>
    </row>
    <row r="17">
      <c r="A17" s="7" t="inlineStr">
        <is>
          <t>(auto)</t>
        </is>
      </c>
      <c r="B17" s="17">
        <f>IF(B5&lt;30,"⏳ Noise — keep tracking",IF(B5&lt;100,"📊 Trend — too early to call",IF(B10&lt;0.45,"🛑 STOP — WR below 45%",IF(B11&lt;0,"🛑 STOP — EV negative","✓ On track"))))</f>
        <v/>
      </c>
      <c r="E17" s="4">
        <f>IF(OR(Trades!M6="WIN",Trades!M6="LOSS"),E16+Trades!N6,E16)</f>
        <v/>
      </c>
      <c r="F17" s="15">
        <f>MIN(0,E17-MAX($E$13:E17))</f>
        <v/>
      </c>
    </row>
    <row r="18">
      <c r="E18" s="4">
        <f>IF(OR(Trades!M7="WIN",Trades!M7="LOSS"),E17+Trades!N7,E17)</f>
        <v/>
      </c>
      <c r="F18" s="15">
        <f>MIN(0,E18-MAX($E$13:E18))</f>
        <v/>
      </c>
    </row>
    <row r="19">
      <c r="E19" s="4">
        <f>IF(OR(Trades!M8="WIN",Trades!M8="LOSS"),E18+Trades!N8,E18)</f>
        <v/>
      </c>
      <c r="F19" s="15">
        <f>MIN(0,E19-MAX($E$13:E19))</f>
        <v/>
      </c>
    </row>
    <row r="20">
      <c r="A20" s="8" t="inlineStr">
        <is>
          <t>Decision rules</t>
        </is>
      </c>
      <c r="E20" s="4">
        <f>IF(OR(Trades!M9="WIN",Trades!M9="LOSS"),E19+Trades!N9,E19)</f>
        <v/>
      </c>
      <c r="F20" s="15">
        <f>MIN(0,E20-MAX($E$13:E20))</f>
        <v/>
      </c>
    </row>
    <row r="21">
      <c r="A21" s="18" t="inlineStr">
        <is>
          <t>🛑 Stop trading if cumulative drawdown &gt; 15R = $3,375</t>
        </is>
      </c>
    </row>
    <row r="22">
      <c r="A22" s="18" t="inlineStr">
        <is>
          <t>🛑 Stop if WR &lt; 45% on Last-50 window</t>
        </is>
      </c>
    </row>
    <row r="23">
      <c r="A23" s="18" t="inlineStr">
        <is>
          <t>🛑 Stop if EV &lt; 0R on Last-100 window</t>
        </is>
      </c>
    </row>
    <row r="24">
      <c r="A24" s="18" t="inlineStr">
        <is>
          <t>✓  Continue if WR 50-65% on rolling windows (within expected variance)</t>
        </is>
      </c>
    </row>
    <row r="25">
      <c r="A25" s="18" t="inlineStr">
        <is>
          <t>✓  Continue through 5-trade losing streaks (math says they're common at 59% WR)</t>
        </is>
      </c>
    </row>
    <row r="26">
      <c r="E26" s="4">
        <f>IF(OR(Trades!M15="WIN",Trades!M15="LOSS"),E25+Trades!N15,E25)</f>
        <v/>
      </c>
      <c r="F26" s="15">
        <f>MIN(0,E26-MAX($E$13:E26))</f>
        <v/>
      </c>
    </row>
    <row r="27">
      <c r="A27" s="8" t="inlineStr">
        <is>
          <t>Validation criteria — what 'edge confirmed' looks like after ~200 trades:</t>
        </is>
      </c>
      <c r="E27" s="4">
        <f>IF(OR(Trades!M16="WIN",Trades!M16="LOSS"),E26+Trades!N16,E26)</f>
        <v/>
      </c>
      <c r="F27" s="15">
        <f>MIN(0,E27-MAX($E$13:E27))</f>
        <v/>
      </c>
    </row>
    <row r="28">
      <c r="A28" s="18" t="inlineStr">
        <is>
          <t>• WR consistently 55–62% on rolling windows</t>
        </is>
      </c>
    </row>
    <row r="29">
      <c r="A29" s="18" t="inlineStr">
        <is>
          <t>• Avg R per trade between +0.10 and +0.18</t>
        </is>
      </c>
    </row>
    <row r="30">
      <c r="A30" s="18" t="inlineStr">
        <is>
          <t>• Max drawdown stayed within 15R</t>
        </is>
      </c>
    </row>
    <row r="31">
      <c r="A31" s="18" t="inlineStr">
        <is>
          <t>• Profit factor 1.4 or higher</t>
        </is>
      </c>
    </row>
    <row r="32">
      <c r="E32" s="4">
        <f>IF(OR(Trades!M21="WIN",Trades!M21="LOSS"),E31+Trades!N21,E31)</f>
        <v/>
      </c>
      <c r="F32" s="15">
        <f>MIN(0,E32-MAX($E$13:E32))</f>
        <v/>
      </c>
    </row>
    <row r="33">
      <c r="E33" s="4">
        <f>IF(OR(Trades!M22="WIN",Trades!M22="LOSS"),E32+Trades!N22,E32)</f>
        <v/>
      </c>
      <c r="F33" s="15">
        <f>MIN(0,E33-MAX($E$13:E33))</f>
        <v/>
      </c>
    </row>
    <row r="34">
      <c r="E34" s="4">
        <f>IF(OR(Trades!M23="WIN",Trades!M23="LOSS"),E33+Trades!N23,E33)</f>
        <v/>
      </c>
      <c r="F34" s="15">
        <f>MIN(0,E34-MAX($E$13:E34))</f>
        <v/>
      </c>
    </row>
    <row r="35">
      <c r="E35" s="4">
        <f>IF(OR(Trades!M24="WIN",Trades!M24="LOSS"),E34+Trades!N24,E34)</f>
        <v/>
      </c>
      <c r="F35" s="15">
        <f>MIN(0,E35-MAX($E$13:E35))</f>
        <v/>
      </c>
    </row>
    <row r="36">
      <c r="E36" s="4">
        <f>IF(OR(Trades!M25="WIN",Trades!M25="LOSS"),E35+Trades!N25,E35)</f>
        <v/>
      </c>
      <c r="F36" s="15">
        <f>MIN(0,E36-MAX($E$13:E36))</f>
        <v/>
      </c>
    </row>
    <row r="37">
      <c r="E37" s="4">
        <f>IF(OR(Trades!M26="WIN",Trades!M26="LOSS"),E36+Trades!N26,E36)</f>
        <v/>
      </c>
      <c r="F37" s="15">
        <f>MIN(0,E37-MAX($E$13:E37))</f>
        <v/>
      </c>
    </row>
    <row r="38">
      <c r="E38" s="4">
        <f>IF(OR(Trades!M27="WIN",Trades!M27="LOSS"),E37+Trades!N27,E37)</f>
        <v/>
      </c>
      <c r="F38" s="15">
        <f>MIN(0,E38-MAX($E$13:E38))</f>
        <v/>
      </c>
    </row>
    <row r="39">
      <c r="E39" s="4">
        <f>IF(OR(Trades!M28="WIN",Trades!M28="LOSS"),E38+Trades!N28,E38)</f>
        <v/>
      </c>
      <c r="F39" s="15">
        <f>MIN(0,E39-MAX($E$13:E39))</f>
        <v/>
      </c>
    </row>
    <row r="40">
      <c r="E40" s="4">
        <f>IF(OR(Trades!M29="WIN",Trades!M29="LOSS"),E39+Trades!N29,E39)</f>
        <v/>
      </c>
      <c r="F40" s="15">
        <f>MIN(0,E40-MAX($E$13:E40))</f>
        <v/>
      </c>
    </row>
    <row r="41">
      <c r="E41" s="4">
        <f>IF(OR(Trades!M30="WIN",Trades!M30="LOSS"),E40+Trades!N30,E40)</f>
        <v/>
      </c>
      <c r="F41" s="15">
        <f>MIN(0,E41-MAX($E$13:E41))</f>
        <v/>
      </c>
    </row>
    <row r="42">
      <c r="E42" s="4">
        <f>IF(OR(Trades!M31="WIN",Trades!M31="LOSS"),E41+Trades!N31,E41)</f>
        <v/>
      </c>
      <c r="F42" s="15">
        <f>MIN(0,E42-MAX($E$13:E42))</f>
        <v/>
      </c>
    </row>
    <row r="43">
      <c r="E43" s="4">
        <f>IF(OR(Trades!M32="WIN",Trades!M32="LOSS"),E42+Trades!N32,E42)</f>
        <v/>
      </c>
      <c r="F43" s="15">
        <f>MIN(0,E43-MAX($E$13:E43))</f>
        <v/>
      </c>
    </row>
    <row r="44">
      <c r="E44" s="4">
        <f>IF(OR(Trades!M33="WIN",Trades!M33="LOSS"),E43+Trades!N33,E43)</f>
        <v/>
      </c>
      <c r="F44" s="15">
        <f>MIN(0,E44-MAX($E$13:E44))</f>
        <v/>
      </c>
    </row>
    <row r="45">
      <c r="E45" s="4">
        <f>IF(OR(Trades!M34="WIN",Trades!M34="LOSS"),E44+Trades!N34,E44)</f>
        <v/>
      </c>
      <c r="F45" s="15">
        <f>MIN(0,E45-MAX($E$13:E45))</f>
        <v/>
      </c>
    </row>
    <row r="46">
      <c r="E46" s="4">
        <f>IF(OR(Trades!M35="WIN",Trades!M35="LOSS"),E45+Trades!N35,E45)</f>
        <v/>
      </c>
      <c r="F46" s="15">
        <f>MIN(0,E46-MAX($E$13:E46))</f>
        <v/>
      </c>
    </row>
    <row r="47">
      <c r="E47" s="4">
        <f>IF(OR(Trades!M36="WIN",Trades!M36="LOSS"),E46+Trades!N36,E46)</f>
        <v/>
      </c>
      <c r="F47" s="15">
        <f>MIN(0,E47-MAX($E$13:E47))</f>
        <v/>
      </c>
    </row>
    <row r="48">
      <c r="E48" s="4">
        <f>IF(OR(Trades!M37="WIN",Trades!M37="LOSS"),E47+Trades!N37,E47)</f>
        <v/>
      </c>
      <c r="F48" s="15">
        <f>MIN(0,E48-MAX($E$13:E48))</f>
        <v/>
      </c>
    </row>
    <row r="49">
      <c r="E49" s="4">
        <f>IF(OR(Trades!M38="WIN",Trades!M38="LOSS"),E48+Trades!N38,E48)</f>
        <v/>
      </c>
      <c r="F49" s="15">
        <f>MIN(0,E49-MAX($E$13:E49))</f>
        <v/>
      </c>
    </row>
    <row r="50">
      <c r="E50" s="4">
        <f>IF(OR(Trades!M39="WIN",Trades!M39="LOSS"),E49+Trades!N39,E49)</f>
        <v/>
      </c>
      <c r="F50" s="15">
        <f>MIN(0,E50-MAX($E$13:E50))</f>
        <v/>
      </c>
    </row>
    <row r="51">
      <c r="E51" s="4">
        <f>IF(OR(Trades!M40="WIN",Trades!M40="LOSS"),E50+Trades!N40,E50)</f>
        <v/>
      </c>
      <c r="F51" s="15">
        <f>MIN(0,E51-MAX($E$13:E51))</f>
        <v/>
      </c>
    </row>
    <row r="52">
      <c r="E52" s="4">
        <f>IF(OR(Trades!M41="WIN",Trades!M41="LOSS"),E51+Trades!N41,E51)</f>
        <v/>
      </c>
      <c r="F52" s="15">
        <f>MIN(0,E52-MAX($E$13:E52))</f>
        <v/>
      </c>
    </row>
    <row r="53">
      <c r="E53" s="4">
        <f>IF(OR(Trades!M42="WIN",Trades!M42="LOSS"),E52+Trades!N42,E52)</f>
        <v/>
      </c>
      <c r="F53" s="15">
        <f>MIN(0,E53-MAX($E$13:E53))</f>
        <v/>
      </c>
    </row>
    <row r="54">
      <c r="E54" s="4">
        <f>IF(OR(Trades!M43="WIN",Trades!M43="LOSS"),E53+Trades!N43,E53)</f>
        <v/>
      </c>
      <c r="F54" s="15">
        <f>MIN(0,E54-MAX($E$13:E54))</f>
        <v/>
      </c>
    </row>
    <row r="55">
      <c r="E55" s="4">
        <f>IF(OR(Trades!M44="WIN",Trades!M44="LOSS"),E54+Trades!N44,E54)</f>
        <v/>
      </c>
      <c r="F55" s="15">
        <f>MIN(0,E55-MAX($E$13:E55))</f>
        <v/>
      </c>
    </row>
    <row r="56">
      <c r="E56" s="4">
        <f>IF(OR(Trades!M45="WIN",Trades!M45="LOSS"),E55+Trades!N45,E55)</f>
        <v/>
      </c>
      <c r="F56" s="15">
        <f>MIN(0,E56-MAX($E$13:E56))</f>
        <v/>
      </c>
    </row>
    <row r="57">
      <c r="E57" s="4">
        <f>IF(OR(Trades!M46="WIN",Trades!M46="LOSS"),E56+Trades!N46,E56)</f>
        <v/>
      </c>
      <c r="F57" s="15">
        <f>MIN(0,E57-MAX($E$13:E57))</f>
        <v/>
      </c>
    </row>
    <row r="58">
      <c r="E58" s="4">
        <f>IF(OR(Trades!M47="WIN",Trades!M47="LOSS"),E57+Trades!N47,E57)</f>
        <v/>
      </c>
      <c r="F58" s="15">
        <f>MIN(0,E58-MAX($E$13:E58))</f>
        <v/>
      </c>
    </row>
    <row r="59">
      <c r="E59" s="4">
        <f>IF(OR(Trades!M48="WIN",Trades!M48="LOSS"),E58+Trades!N48,E58)</f>
        <v/>
      </c>
      <c r="F59" s="15">
        <f>MIN(0,E59-MAX($E$13:E59))</f>
        <v/>
      </c>
    </row>
    <row r="60">
      <c r="E60" s="4">
        <f>IF(OR(Trades!M49="WIN",Trades!M49="LOSS"),E59+Trades!N49,E59)</f>
        <v/>
      </c>
      <c r="F60" s="15">
        <f>MIN(0,E60-MAX($E$13:E60))</f>
        <v/>
      </c>
    </row>
    <row r="61">
      <c r="E61" s="4">
        <f>IF(OR(Trades!M50="WIN",Trades!M50="LOSS"),E60+Trades!N50,E60)</f>
        <v/>
      </c>
      <c r="F61" s="15">
        <f>MIN(0,E61-MAX($E$13:E61))</f>
        <v/>
      </c>
    </row>
    <row r="62">
      <c r="E62" s="4">
        <f>IF(OR(Trades!M51="WIN",Trades!M51="LOSS"),E61+Trades!N51,E61)</f>
        <v/>
      </c>
      <c r="F62" s="15">
        <f>MIN(0,E62-MAX($E$13:E62))</f>
        <v/>
      </c>
    </row>
    <row r="63">
      <c r="E63" s="4">
        <f>IF(OR(Trades!M52="WIN",Trades!M52="LOSS"),E62+Trades!N52,E62)</f>
        <v/>
      </c>
      <c r="F63" s="15">
        <f>MIN(0,E63-MAX($E$13:E63))</f>
        <v/>
      </c>
    </row>
    <row r="64">
      <c r="E64" s="4">
        <f>IF(OR(Trades!M53="WIN",Trades!M53="LOSS"),E63+Trades!N53,E63)</f>
        <v/>
      </c>
      <c r="F64" s="15">
        <f>MIN(0,E64-MAX($E$13:E64))</f>
        <v/>
      </c>
    </row>
    <row r="65">
      <c r="E65" s="4">
        <f>IF(OR(Trades!M54="WIN",Trades!M54="LOSS"),E64+Trades!N54,E64)</f>
        <v/>
      </c>
      <c r="F65" s="15">
        <f>MIN(0,E65-MAX($E$13:E65))</f>
        <v/>
      </c>
    </row>
    <row r="66">
      <c r="E66" s="4">
        <f>IF(OR(Trades!M55="WIN",Trades!M55="LOSS"),E65+Trades!N55,E65)</f>
        <v/>
      </c>
      <c r="F66" s="15">
        <f>MIN(0,E66-MAX($E$13:E66))</f>
        <v/>
      </c>
    </row>
    <row r="67">
      <c r="E67" s="4">
        <f>IF(OR(Trades!M56="WIN",Trades!M56="LOSS"),E66+Trades!N56,E66)</f>
        <v/>
      </c>
      <c r="F67" s="15">
        <f>MIN(0,E67-MAX($E$13:E67))</f>
        <v/>
      </c>
    </row>
    <row r="68">
      <c r="E68" s="4">
        <f>IF(OR(Trades!M57="WIN",Trades!M57="LOSS"),E67+Trades!N57,E67)</f>
        <v/>
      </c>
      <c r="F68" s="15">
        <f>MIN(0,E68-MAX($E$13:E68))</f>
        <v/>
      </c>
    </row>
    <row r="69">
      <c r="E69" s="4">
        <f>IF(OR(Trades!M58="WIN",Trades!M58="LOSS"),E68+Trades!N58,E68)</f>
        <v/>
      </c>
      <c r="F69" s="15">
        <f>MIN(0,E69-MAX($E$13:E69))</f>
        <v/>
      </c>
    </row>
    <row r="70">
      <c r="E70" s="4">
        <f>IF(OR(Trades!M59="WIN",Trades!M59="LOSS"),E69+Trades!N59,E69)</f>
        <v/>
      </c>
      <c r="F70" s="15">
        <f>MIN(0,E70-MAX($E$13:E70))</f>
        <v/>
      </c>
    </row>
    <row r="71">
      <c r="E71" s="4">
        <f>IF(OR(Trades!M60="WIN",Trades!M60="LOSS"),E70+Trades!N60,E70)</f>
        <v/>
      </c>
      <c r="F71" s="15">
        <f>MIN(0,E71-MAX($E$13:E71))</f>
        <v/>
      </c>
    </row>
    <row r="72">
      <c r="E72" s="4">
        <f>IF(OR(Trades!M61="WIN",Trades!M61="LOSS"),E71+Trades!N61,E71)</f>
        <v/>
      </c>
      <c r="F72" s="15">
        <f>MIN(0,E72-MAX($E$13:E72))</f>
        <v/>
      </c>
    </row>
    <row r="73">
      <c r="E73" s="4">
        <f>IF(OR(Trades!M62="WIN",Trades!M62="LOSS"),E72+Trades!N62,E72)</f>
        <v/>
      </c>
      <c r="F73" s="15">
        <f>MIN(0,E73-MAX($E$13:E73))</f>
        <v/>
      </c>
    </row>
    <row r="74">
      <c r="E74" s="4">
        <f>IF(OR(Trades!M63="WIN",Trades!M63="LOSS"),E73+Trades!N63,E73)</f>
        <v/>
      </c>
      <c r="F74" s="15">
        <f>MIN(0,E74-MAX($E$13:E74))</f>
        <v/>
      </c>
    </row>
    <row r="75">
      <c r="E75" s="4">
        <f>IF(OR(Trades!M64="WIN",Trades!M64="LOSS"),E74+Trades!N64,E74)</f>
        <v/>
      </c>
      <c r="F75" s="15">
        <f>MIN(0,E75-MAX($E$13:E75))</f>
        <v/>
      </c>
    </row>
    <row r="76">
      <c r="E76" s="4">
        <f>IF(OR(Trades!M65="WIN",Trades!M65="LOSS"),E75+Trades!N65,E75)</f>
        <v/>
      </c>
      <c r="F76" s="15">
        <f>MIN(0,E76-MAX($E$13:E76))</f>
        <v/>
      </c>
    </row>
    <row r="77">
      <c r="E77" s="4">
        <f>IF(OR(Trades!M66="WIN",Trades!M66="LOSS"),E76+Trades!N66,E76)</f>
        <v/>
      </c>
      <c r="F77" s="15">
        <f>MIN(0,E77-MAX($E$13:E77))</f>
        <v/>
      </c>
    </row>
    <row r="78">
      <c r="E78" s="4">
        <f>IF(OR(Trades!M67="WIN",Trades!M67="LOSS"),E77+Trades!N67,E77)</f>
        <v/>
      </c>
      <c r="F78" s="15">
        <f>MIN(0,E78-MAX($E$13:E78))</f>
        <v/>
      </c>
    </row>
    <row r="79">
      <c r="E79" s="4">
        <f>IF(OR(Trades!M68="WIN",Trades!M68="LOSS"),E78+Trades!N68,E78)</f>
        <v/>
      </c>
      <c r="F79" s="15">
        <f>MIN(0,E79-MAX($E$13:E79))</f>
        <v/>
      </c>
    </row>
    <row r="80">
      <c r="E80" s="4">
        <f>IF(OR(Trades!M69="WIN",Trades!M69="LOSS"),E79+Trades!N69,E79)</f>
        <v/>
      </c>
      <c r="F80" s="15">
        <f>MIN(0,E80-MAX($E$13:E80))</f>
        <v/>
      </c>
    </row>
    <row r="81">
      <c r="E81" s="4">
        <f>IF(OR(Trades!M70="WIN",Trades!M70="LOSS"),E80+Trades!N70,E80)</f>
        <v/>
      </c>
      <c r="F81" s="15">
        <f>MIN(0,E81-MAX($E$13:E81))</f>
        <v/>
      </c>
    </row>
    <row r="82">
      <c r="E82" s="4">
        <f>IF(OR(Trades!M71="WIN",Trades!M71="LOSS"),E81+Trades!N71,E81)</f>
        <v/>
      </c>
      <c r="F82" s="15">
        <f>MIN(0,E82-MAX($E$13:E82))</f>
        <v/>
      </c>
    </row>
    <row r="83">
      <c r="E83" s="4">
        <f>IF(OR(Trades!M72="WIN",Trades!M72="LOSS"),E82+Trades!N72,E82)</f>
        <v/>
      </c>
      <c r="F83" s="15">
        <f>MIN(0,E83-MAX($E$13:E83))</f>
        <v/>
      </c>
    </row>
    <row r="84">
      <c r="E84" s="4">
        <f>IF(OR(Trades!M73="WIN",Trades!M73="LOSS"),E83+Trades!N73,E83)</f>
        <v/>
      </c>
      <c r="F84" s="15">
        <f>MIN(0,E84-MAX($E$13:E84))</f>
        <v/>
      </c>
    </row>
    <row r="85">
      <c r="E85" s="4">
        <f>IF(OR(Trades!M74="WIN",Trades!M74="LOSS"),E84+Trades!N74,E84)</f>
        <v/>
      </c>
      <c r="F85" s="15">
        <f>MIN(0,E85-MAX($E$13:E85))</f>
        <v/>
      </c>
    </row>
    <row r="86">
      <c r="E86" s="4">
        <f>IF(OR(Trades!M75="WIN",Trades!M75="LOSS"),E85+Trades!N75,E85)</f>
        <v/>
      </c>
      <c r="F86" s="15">
        <f>MIN(0,E86-MAX($E$13:E86))</f>
        <v/>
      </c>
    </row>
    <row r="87">
      <c r="E87" s="4">
        <f>IF(OR(Trades!M76="WIN",Trades!M76="LOSS"),E86+Trades!N76,E86)</f>
        <v/>
      </c>
      <c r="F87" s="15">
        <f>MIN(0,E87-MAX($E$13:E87))</f>
        <v/>
      </c>
    </row>
    <row r="88">
      <c r="E88" s="4">
        <f>IF(OR(Trades!M77="WIN",Trades!M77="LOSS"),E87+Trades!N77,E87)</f>
        <v/>
      </c>
      <c r="F88" s="15">
        <f>MIN(0,E88-MAX($E$13:E88))</f>
        <v/>
      </c>
    </row>
    <row r="89">
      <c r="E89" s="4">
        <f>IF(OR(Trades!M78="WIN",Trades!M78="LOSS"),E88+Trades!N78,E88)</f>
        <v/>
      </c>
      <c r="F89" s="15">
        <f>MIN(0,E89-MAX($E$13:E89))</f>
        <v/>
      </c>
    </row>
    <row r="90">
      <c r="E90" s="4">
        <f>IF(OR(Trades!M79="WIN",Trades!M79="LOSS"),E89+Trades!N79,E89)</f>
        <v/>
      </c>
      <c r="F90" s="15">
        <f>MIN(0,E90-MAX($E$13:E90))</f>
        <v/>
      </c>
    </row>
    <row r="91">
      <c r="E91" s="4">
        <f>IF(OR(Trades!M80="WIN",Trades!M80="LOSS"),E90+Trades!N80,E90)</f>
        <v/>
      </c>
      <c r="F91" s="15">
        <f>MIN(0,E91-MAX($E$13:E91))</f>
        <v/>
      </c>
    </row>
    <row r="92">
      <c r="E92" s="4">
        <f>IF(OR(Trades!M81="WIN",Trades!M81="LOSS"),E91+Trades!N81,E91)</f>
        <v/>
      </c>
      <c r="F92" s="15">
        <f>MIN(0,E92-MAX($E$13:E92))</f>
        <v/>
      </c>
    </row>
    <row r="93">
      <c r="E93" s="4">
        <f>IF(OR(Trades!M82="WIN",Trades!M82="LOSS"),E92+Trades!N82,E92)</f>
        <v/>
      </c>
      <c r="F93" s="15">
        <f>MIN(0,E93-MAX($E$13:E93))</f>
        <v/>
      </c>
    </row>
    <row r="94">
      <c r="E94" s="4">
        <f>IF(OR(Trades!M83="WIN",Trades!M83="LOSS"),E93+Trades!N83,E93)</f>
        <v/>
      </c>
      <c r="F94" s="15">
        <f>MIN(0,E94-MAX($E$13:E94))</f>
        <v/>
      </c>
    </row>
    <row r="95">
      <c r="E95" s="4">
        <f>IF(OR(Trades!M84="WIN",Trades!M84="LOSS"),E94+Trades!N84,E94)</f>
        <v/>
      </c>
      <c r="F95" s="15">
        <f>MIN(0,E95-MAX($E$13:E95))</f>
        <v/>
      </c>
    </row>
    <row r="96">
      <c r="E96" s="4">
        <f>IF(OR(Trades!M85="WIN",Trades!M85="LOSS"),E95+Trades!N85,E95)</f>
        <v/>
      </c>
      <c r="F96" s="15">
        <f>MIN(0,E96-MAX($E$13:E96))</f>
        <v/>
      </c>
    </row>
    <row r="97">
      <c r="E97" s="4">
        <f>IF(OR(Trades!M86="WIN",Trades!M86="LOSS"),E96+Trades!N86,E96)</f>
        <v/>
      </c>
      <c r="F97" s="15">
        <f>MIN(0,E97-MAX($E$13:E97))</f>
        <v/>
      </c>
    </row>
    <row r="98">
      <c r="E98" s="4">
        <f>IF(OR(Trades!M87="WIN",Trades!M87="LOSS"),E97+Trades!N87,E97)</f>
        <v/>
      </c>
      <c r="F98" s="15">
        <f>MIN(0,E98-MAX($E$13:E98))</f>
        <v/>
      </c>
    </row>
    <row r="99">
      <c r="E99" s="4">
        <f>IF(OR(Trades!M88="WIN",Trades!M88="LOSS"),E98+Trades!N88,E98)</f>
        <v/>
      </c>
      <c r="F99" s="15">
        <f>MIN(0,E99-MAX($E$13:E99))</f>
        <v/>
      </c>
    </row>
    <row r="100">
      <c r="E100" s="4">
        <f>IF(OR(Trades!M89="WIN",Trades!M89="LOSS"),E99+Trades!N89,E99)</f>
        <v/>
      </c>
      <c r="F100" s="15">
        <f>MIN(0,E100-MAX($E$13:E100))</f>
        <v/>
      </c>
    </row>
    <row r="101">
      <c r="E101" s="4">
        <f>IF(OR(Trades!M90="WIN",Trades!M90="LOSS"),E100+Trades!N90,E100)</f>
        <v/>
      </c>
      <c r="F101" s="15">
        <f>MIN(0,E101-MAX($E$13:E101))</f>
        <v/>
      </c>
    </row>
    <row r="102">
      <c r="E102" s="4">
        <f>IF(OR(Trades!M91="WIN",Trades!M91="LOSS"),E101+Trades!N91,E101)</f>
        <v/>
      </c>
      <c r="F102" s="15">
        <f>MIN(0,E102-MAX($E$13:E102))</f>
        <v/>
      </c>
    </row>
    <row r="103">
      <c r="E103" s="4">
        <f>IF(OR(Trades!M92="WIN",Trades!M92="LOSS"),E102+Trades!N92,E102)</f>
        <v/>
      </c>
      <c r="F103" s="15">
        <f>MIN(0,E103-MAX($E$13:E103))</f>
        <v/>
      </c>
    </row>
    <row r="104">
      <c r="E104" s="4">
        <f>IF(OR(Trades!M93="WIN",Trades!M93="LOSS"),E103+Trades!N93,E103)</f>
        <v/>
      </c>
      <c r="F104" s="15">
        <f>MIN(0,E104-MAX($E$13:E104))</f>
        <v/>
      </c>
    </row>
    <row r="105">
      <c r="E105" s="4">
        <f>IF(OR(Trades!M94="WIN",Trades!M94="LOSS"),E104+Trades!N94,E104)</f>
        <v/>
      </c>
      <c r="F105" s="15">
        <f>MIN(0,E105-MAX($E$13:E105))</f>
        <v/>
      </c>
    </row>
    <row r="106">
      <c r="E106" s="4">
        <f>IF(OR(Trades!M95="WIN",Trades!M95="LOSS"),E105+Trades!N95,E105)</f>
        <v/>
      </c>
      <c r="F106" s="15">
        <f>MIN(0,E106-MAX($E$13:E106))</f>
        <v/>
      </c>
    </row>
    <row r="107">
      <c r="E107" s="4">
        <f>IF(OR(Trades!M96="WIN",Trades!M96="LOSS"),E106+Trades!N96,E106)</f>
        <v/>
      </c>
      <c r="F107" s="15">
        <f>MIN(0,E107-MAX($E$13:E107))</f>
        <v/>
      </c>
    </row>
    <row r="108">
      <c r="E108" s="4">
        <f>IF(OR(Trades!M97="WIN",Trades!M97="LOSS"),E107+Trades!N97,E107)</f>
        <v/>
      </c>
      <c r="F108" s="15">
        <f>MIN(0,E108-MAX($E$13:E108))</f>
        <v/>
      </c>
    </row>
    <row r="109">
      <c r="E109" s="4">
        <f>IF(OR(Trades!M98="WIN",Trades!M98="LOSS"),E108+Trades!N98,E108)</f>
        <v/>
      </c>
      <c r="F109" s="15">
        <f>MIN(0,E109-MAX($E$13:E109))</f>
        <v/>
      </c>
    </row>
    <row r="110">
      <c r="E110" s="4">
        <f>IF(OR(Trades!M99="WIN",Trades!M99="LOSS"),E109+Trades!N99,E109)</f>
        <v/>
      </c>
      <c r="F110" s="15">
        <f>MIN(0,E110-MAX($E$13:E110))</f>
        <v/>
      </c>
    </row>
    <row r="111">
      <c r="E111" s="4">
        <f>IF(OR(Trades!M100="WIN",Trades!M100="LOSS"),E110+Trades!N100,E110)</f>
        <v/>
      </c>
      <c r="F111" s="15">
        <f>MIN(0,E111-MAX($E$13:E111))</f>
        <v/>
      </c>
    </row>
    <row r="112">
      <c r="E112" s="4">
        <f>IF(OR(Trades!M101="WIN",Trades!M101="LOSS"),E111+Trades!N101,E111)</f>
        <v/>
      </c>
      <c r="F112" s="15">
        <f>MIN(0,E112-MAX($E$13:E112))</f>
        <v/>
      </c>
    </row>
    <row r="113">
      <c r="E113" s="4">
        <f>IF(OR(Trades!M102="WIN",Trades!M102="LOSS"),E112+Trades!N102,E112)</f>
        <v/>
      </c>
      <c r="F113" s="15">
        <f>MIN(0,E113-MAX($E$13:E113))</f>
        <v/>
      </c>
    </row>
    <row r="114">
      <c r="E114" s="4">
        <f>IF(OR(Trades!M103="WIN",Trades!M103="LOSS"),E113+Trades!N103,E113)</f>
        <v/>
      </c>
      <c r="F114" s="15">
        <f>MIN(0,E114-MAX($E$13:E114))</f>
        <v/>
      </c>
    </row>
    <row r="115">
      <c r="E115" s="4">
        <f>IF(OR(Trades!M104="WIN",Trades!M104="LOSS"),E114+Trades!N104,E114)</f>
        <v/>
      </c>
      <c r="F115" s="15">
        <f>MIN(0,E115-MAX($E$13:E115))</f>
        <v/>
      </c>
    </row>
    <row r="116">
      <c r="E116" s="4">
        <f>IF(OR(Trades!M105="WIN",Trades!M105="LOSS"),E115+Trades!N105,E115)</f>
        <v/>
      </c>
      <c r="F116" s="15">
        <f>MIN(0,E116-MAX($E$13:E116))</f>
        <v/>
      </c>
    </row>
    <row r="117">
      <c r="E117" s="4">
        <f>IF(OR(Trades!M106="WIN",Trades!M106="LOSS"),E116+Trades!N106,E116)</f>
        <v/>
      </c>
      <c r="F117" s="15">
        <f>MIN(0,E117-MAX($E$13:E117))</f>
        <v/>
      </c>
    </row>
    <row r="118">
      <c r="E118" s="4">
        <f>IF(OR(Trades!M107="WIN",Trades!M107="LOSS"),E117+Trades!N107,E117)</f>
        <v/>
      </c>
      <c r="F118" s="15">
        <f>MIN(0,E118-MAX($E$13:E118))</f>
        <v/>
      </c>
    </row>
    <row r="119">
      <c r="E119" s="4">
        <f>IF(OR(Trades!M108="WIN",Trades!M108="LOSS"),E118+Trades!N108,E118)</f>
        <v/>
      </c>
      <c r="F119" s="15">
        <f>MIN(0,E119-MAX($E$13:E119))</f>
        <v/>
      </c>
    </row>
    <row r="120">
      <c r="E120" s="4">
        <f>IF(OR(Trades!M109="WIN",Trades!M109="LOSS"),E119+Trades!N109,E119)</f>
        <v/>
      </c>
      <c r="F120" s="15">
        <f>MIN(0,E120-MAX($E$13:E120))</f>
        <v/>
      </c>
    </row>
    <row r="121">
      <c r="E121" s="4">
        <f>IF(OR(Trades!M110="WIN",Trades!M110="LOSS"),E120+Trades!N110,E120)</f>
        <v/>
      </c>
      <c r="F121" s="15">
        <f>MIN(0,E121-MAX($E$13:E121))</f>
        <v/>
      </c>
    </row>
    <row r="122">
      <c r="E122" s="4">
        <f>IF(OR(Trades!M111="WIN",Trades!M111="LOSS"),E121+Trades!N111,E121)</f>
        <v/>
      </c>
      <c r="F122" s="15">
        <f>MIN(0,E122-MAX($E$13:E122))</f>
        <v/>
      </c>
    </row>
    <row r="123">
      <c r="E123" s="4">
        <f>IF(OR(Trades!M112="WIN",Trades!M112="LOSS"),E122+Trades!N112,E122)</f>
        <v/>
      </c>
      <c r="F123" s="15">
        <f>MIN(0,E123-MAX($E$13:E123))</f>
        <v/>
      </c>
    </row>
    <row r="124">
      <c r="E124" s="4">
        <f>IF(OR(Trades!M113="WIN",Trades!M113="LOSS"),E123+Trades!N113,E123)</f>
        <v/>
      </c>
      <c r="F124" s="15">
        <f>MIN(0,E124-MAX($E$13:E124))</f>
        <v/>
      </c>
    </row>
    <row r="125">
      <c r="E125" s="4">
        <f>IF(OR(Trades!M114="WIN",Trades!M114="LOSS"),E124+Trades!N114,E124)</f>
        <v/>
      </c>
      <c r="F125" s="15">
        <f>MIN(0,E125-MAX($E$13:E125))</f>
        <v/>
      </c>
    </row>
    <row r="126">
      <c r="E126" s="4">
        <f>IF(OR(Trades!M115="WIN",Trades!M115="LOSS"),E125+Trades!N115,E125)</f>
        <v/>
      </c>
      <c r="F126" s="15">
        <f>MIN(0,E126-MAX($E$13:E126))</f>
        <v/>
      </c>
    </row>
    <row r="127">
      <c r="E127" s="4">
        <f>IF(OR(Trades!M116="WIN",Trades!M116="LOSS"),E126+Trades!N116,E126)</f>
        <v/>
      </c>
      <c r="F127" s="15">
        <f>MIN(0,E127-MAX($E$13:E127))</f>
        <v/>
      </c>
    </row>
    <row r="128">
      <c r="E128" s="4">
        <f>IF(OR(Trades!M117="WIN",Trades!M117="LOSS"),E127+Trades!N117,E127)</f>
        <v/>
      </c>
      <c r="F128" s="15">
        <f>MIN(0,E128-MAX($E$13:E128))</f>
        <v/>
      </c>
    </row>
    <row r="129">
      <c r="E129" s="4">
        <f>IF(OR(Trades!M118="WIN",Trades!M118="LOSS"),E128+Trades!N118,E128)</f>
        <v/>
      </c>
      <c r="F129" s="15">
        <f>MIN(0,E129-MAX($E$13:E129))</f>
        <v/>
      </c>
    </row>
    <row r="130">
      <c r="E130" s="4">
        <f>IF(OR(Trades!M119="WIN",Trades!M119="LOSS"),E129+Trades!N119,E129)</f>
        <v/>
      </c>
      <c r="F130" s="15">
        <f>MIN(0,E130-MAX($E$13:E130))</f>
        <v/>
      </c>
    </row>
    <row r="131">
      <c r="E131" s="4">
        <f>IF(OR(Trades!M120="WIN",Trades!M120="LOSS"),E130+Trades!N120,E130)</f>
        <v/>
      </c>
      <c r="F131" s="15">
        <f>MIN(0,E131-MAX($E$13:E131))</f>
        <v/>
      </c>
    </row>
    <row r="132">
      <c r="E132" s="4">
        <f>IF(OR(Trades!M121="WIN",Trades!M121="LOSS"),E131+Trades!N121,E131)</f>
        <v/>
      </c>
      <c r="F132" s="15">
        <f>MIN(0,E132-MAX($E$13:E132))</f>
        <v/>
      </c>
    </row>
    <row r="133">
      <c r="E133" s="4">
        <f>IF(OR(Trades!M122="WIN",Trades!M122="LOSS"),E132+Trades!N122,E132)</f>
        <v/>
      </c>
      <c r="F133" s="15">
        <f>MIN(0,E133-MAX($E$13:E133))</f>
        <v/>
      </c>
    </row>
    <row r="134">
      <c r="E134" s="4">
        <f>IF(OR(Trades!M123="WIN",Trades!M123="LOSS"),E133+Trades!N123,E133)</f>
        <v/>
      </c>
      <c r="F134" s="15">
        <f>MIN(0,E134-MAX($E$13:E134))</f>
        <v/>
      </c>
    </row>
    <row r="135">
      <c r="E135" s="4">
        <f>IF(OR(Trades!M124="WIN",Trades!M124="LOSS"),E134+Trades!N124,E134)</f>
        <v/>
      </c>
      <c r="F135" s="15">
        <f>MIN(0,E135-MAX($E$13:E135))</f>
        <v/>
      </c>
    </row>
    <row r="136">
      <c r="E136" s="4">
        <f>IF(OR(Trades!M125="WIN",Trades!M125="LOSS"),E135+Trades!N125,E135)</f>
        <v/>
      </c>
      <c r="F136" s="15">
        <f>MIN(0,E136-MAX($E$13:E136))</f>
        <v/>
      </c>
    </row>
    <row r="137">
      <c r="E137" s="4">
        <f>IF(OR(Trades!M126="WIN",Trades!M126="LOSS"),E136+Trades!N126,E136)</f>
        <v/>
      </c>
      <c r="F137" s="15">
        <f>MIN(0,E137-MAX($E$13:E137))</f>
        <v/>
      </c>
    </row>
    <row r="138">
      <c r="E138" s="4">
        <f>IF(OR(Trades!M127="WIN",Trades!M127="LOSS"),E137+Trades!N127,E137)</f>
        <v/>
      </c>
      <c r="F138" s="15">
        <f>MIN(0,E138-MAX($E$13:E138))</f>
        <v/>
      </c>
    </row>
    <row r="139">
      <c r="E139" s="4">
        <f>IF(OR(Trades!M128="WIN",Trades!M128="LOSS"),E138+Trades!N128,E138)</f>
        <v/>
      </c>
      <c r="F139" s="15">
        <f>MIN(0,E139-MAX($E$13:E139))</f>
        <v/>
      </c>
    </row>
    <row r="140">
      <c r="E140" s="4">
        <f>IF(OR(Trades!M129="WIN",Trades!M129="LOSS"),E139+Trades!N129,E139)</f>
        <v/>
      </c>
      <c r="F140" s="15">
        <f>MIN(0,E140-MAX($E$13:E140))</f>
        <v/>
      </c>
    </row>
    <row r="141">
      <c r="E141" s="4">
        <f>IF(OR(Trades!M130="WIN",Trades!M130="LOSS"),E140+Trades!N130,E140)</f>
        <v/>
      </c>
      <c r="F141" s="15">
        <f>MIN(0,E141-MAX($E$13:E141))</f>
        <v/>
      </c>
    </row>
    <row r="142">
      <c r="E142" s="4">
        <f>IF(OR(Trades!M131="WIN",Trades!M131="LOSS"),E141+Trades!N131,E141)</f>
        <v/>
      </c>
      <c r="F142" s="15">
        <f>MIN(0,E142-MAX($E$13:E142))</f>
        <v/>
      </c>
    </row>
    <row r="143">
      <c r="E143" s="4">
        <f>IF(OR(Trades!M132="WIN",Trades!M132="LOSS"),E142+Trades!N132,E142)</f>
        <v/>
      </c>
      <c r="F143" s="15">
        <f>MIN(0,E143-MAX($E$13:E143))</f>
        <v/>
      </c>
    </row>
    <row r="144">
      <c r="E144" s="4">
        <f>IF(OR(Trades!M133="WIN",Trades!M133="LOSS"),E143+Trades!N133,E143)</f>
        <v/>
      </c>
      <c r="F144" s="15">
        <f>MIN(0,E144-MAX($E$13:E144))</f>
        <v/>
      </c>
    </row>
    <row r="145">
      <c r="E145" s="4">
        <f>IF(OR(Trades!M134="WIN",Trades!M134="LOSS"),E144+Trades!N134,E144)</f>
        <v/>
      </c>
      <c r="F145" s="15">
        <f>MIN(0,E145-MAX($E$13:E145))</f>
        <v/>
      </c>
    </row>
    <row r="146">
      <c r="E146" s="4">
        <f>IF(OR(Trades!M135="WIN",Trades!M135="LOSS"),E145+Trades!N135,E145)</f>
        <v/>
      </c>
      <c r="F146" s="15">
        <f>MIN(0,E146-MAX($E$13:E146))</f>
        <v/>
      </c>
    </row>
    <row r="147">
      <c r="E147" s="4">
        <f>IF(OR(Trades!M136="WIN",Trades!M136="LOSS"),E146+Trades!N136,E146)</f>
        <v/>
      </c>
      <c r="F147" s="15">
        <f>MIN(0,E147-MAX($E$13:E147))</f>
        <v/>
      </c>
    </row>
    <row r="148">
      <c r="E148" s="4">
        <f>IF(OR(Trades!M137="WIN",Trades!M137="LOSS"),E147+Trades!N137,E147)</f>
        <v/>
      </c>
      <c r="F148" s="15">
        <f>MIN(0,E148-MAX($E$13:E148))</f>
        <v/>
      </c>
    </row>
    <row r="149">
      <c r="E149" s="4">
        <f>IF(OR(Trades!M138="WIN",Trades!M138="LOSS"),E148+Trades!N138,E148)</f>
        <v/>
      </c>
      <c r="F149" s="15">
        <f>MIN(0,E149-MAX($E$13:E149))</f>
        <v/>
      </c>
    </row>
    <row r="150">
      <c r="E150" s="4">
        <f>IF(OR(Trades!M139="WIN",Trades!M139="LOSS"),E149+Trades!N139,E149)</f>
        <v/>
      </c>
      <c r="F150" s="15">
        <f>MIN(0,E150-MAX($E$13:E150))</f>
        <v/>
      </c>
    </row>
    <row r="151">
      <c r="E151" s="4">
        <f>IF(OR(Trades!M140="WIN",Trades!M140="LOSS"),E150+Trades!N140,E150)</f>
        <v/>
      </c>
      <c r="F151" s="15">
        <f>MIN(0,E151-MAX($E$13:E151))</f>
        <v/>
      </c>
    </row>
    <row r="152">
      <c r="E152" s="4">
        <f>IF(OR(Trades!M141="WIN",Trades!M141="LOSS"),E151+Trades!N141,E151)</f>
        <v/>
      </c>
      <c r="F152" s="15">
        <f>MIN(0,E152-MAX($E$13:E152))</f>
        <v/>
      </c>
    </row>
    <row r="153">
      <c r="E153" s="4">
        <f>IF(OR(Trades!M142="WIN",Trades!M142="LOSS"),E152+Trades!N142,E152)</f>
        <v/>
      </c>
      <c r="F153" s="15">
        <f>MIN(0,E153-MAX($E$13:E153))</f>
        <v/>
      </c>
    </row>
    <row r="154">
      <c r="E154" s="4">
        <f>IF(OR(Trades!M143="WIN",Trades!M143="LOSS"),E153+Trades!N143,E153)</f>
        <v/>
      </c>
      <c r="F154" s="15">
        <f>MIN(0,E154-MAX($E$13:E154))</f>
        <v/>
      </c>
    </row>
    <row r="155">
      <c r="E155" s="4">
        <f>IF(OR(Trades!M144="WIN",Trades!M144="LOSS"),E154+Trades!N144,E154)</f>
        <v/>
      </c>
      <c r="F155" s="15">
        <f>MIN(0,E155-MAX($E$13:E155))</f>
        <v/>
      </c>
    </row>
    <row r="156">
      <c r="E156" s="4">
        <f>IF(OR(Trades!M145="WIN",Trades!M145="LOSS"),E155+Trades!N145,E155)</f>
        <v/>
      </c>
      <c r="F156" s="15">
        <f>MIN(0,E156-MAX($E$13:E156))</f>
        <v/>
      </c>
    </row>
    <row r="157">
      <c r="E157" s="4">
        <f>IF(OR(Trades!M146="WIN",Trades!M146="LOSS"),E156+Trades!N146,E156)</f>
        <v/>
      </c>
      <c r="F157" s="15">
        <f>MIN(0,E157-MAX($E$13:E157))</f>
        <v/>
      </c>
    </row>
    <row r="158">
      <c r="E158" s="4">
        <f>IF(OR(Trades!M147="WIN",Trades!M147="LOSS"),E157+Trades!N147,E157)</f>
        <v/>
      </c>
      <c r="F158" s="15">
        <f>MIN(0,E158-MAX($E$13:E158))</f>
        <v/>
      </c>
    </row>
    <row r="159">
      <c r="E159" s="4">
        <f>IF(OR(Trades!M148="WIN",Trades!M148="LOSS"),E158+Trades!N148,E158)</f>
        <v/>
      </c>
      <c r="F159" s="15">
        <f>MIN(0,E159-MAX($E$13:E159))</f>
        <v/>
      </c>
    </row>
    <row r="160">
      <c r="E160" s="4">
        <f>IF(OR(Trades!M149="WIN",Trades!M149="LOSS"),E159+Trades!N149,E159)</f>
        <v/>
      </c>
      <c r="F160" s="15">
        <f>MIN(0,E160-MAX($E$13:E160))</f>
        <v/>
      </c>
    </row>
    <row r="161">
      <c r="E161" s="4">
        <f>IF(OR(Trades!M150="WIN",Trades!M150="LOSS"),E160+Trades!N150,E160)</f>
        <v/>
      </c>
      <c r="F161" s="15">
        <f>MIN(0,E161-MAX($E$13:E161))</f>
        <v/>
      </c>
    </row>
    <row r="162">
      <c r="E162" s="4">
        <f>IF(OR(Trades!M151="WIN",Trades!M151="LOSS"),E161+Trades!N151,E161)</f>
        <v/>
      </c>
      <c r="F162" s="15">
        <f>MIN(0,E162-MAX($E$13:E162))</f>
        <v/>
      </c>
    </row>
    <row r="163">
      <c r="E163" s="4">
        <f>IF(OR(Trades!M152="WIN",Trades!M152="LOSS"),E162+Trades!N152,E162)</f>
        <v/>
      </c>
      <c r="F163" s="15">
        <f>MIN(0,E163-MAX($E$13:E163))</f>
        <v/>
      </c>
    </row>
    <row r="164">
      <c r="E164" s="4">
        <f>IF(OR(Trades!M153="WIN",Trades!M153="LOSS"),E163+Trades!N153,E163)</f>
        <v/>
      </c>
      <c r="F164" s="15">
        <f>MIN(0,E164-MAX($E$13:E164))</f>
        <v/>
      </c>
    </row>
    <row r="165">
      <c r="E165" s="4">
        <f>IF(OR(Trades!M154="WIN",Trades!M154="LOSS"),E164+Trades!N154,E164)</f>
        <v/>
      </c>
      <c r="F165" s="15">
        <f>MIN(0,E165-MAX($E$13:E165))</f>
        <v/>
      </c>
    </row>
    <row r="166">
      <c r="E166" s="4">
        <f>IF(OR(Trades!M155="WIN",Trades!M155="LOSS"),E165+Trades!N155,E165)</f>
        <v/>
      </c>
      <c r="F166" s="15">
        <f>MIN(0,E166-MAX($E$13:E166))</f>
        <v/>
      </c>
    </row>
    <row r="167">
      <c r="E167" s="4">
        <f>IF(OR(Trades!M156="WIN",Trades!M156="LOSS"),E166+Trades!N156,E166)</f>
        <v/>
      </c>
      <c r="F167" s="15">
        <f>MIN(0,E167-MAX($E$13:E167))</f>
        <v/>
      </c>
    </row>
    <row r="168">
      <c r="E168" s="4">
        <f>IF(OR(Trades!M157="WIN",Trades!M157="LOSS"),E167+Trades!N157,E167)</f>
        <v/>
      </c>
      <c r="F168" s="15">
        <f>MIN(0,E168-MAX($E$13:E168))</f>
        <v/>
      </c>
    </row>
    <row r="169">
      <c r="E169" s="4">
        <f>IF(OR(Trades!M158="WIN",Trades!M158="LOSS"),E168+Trades!N158,E168)</f>
        <v/>
      </c>
      <c r="F169" s="15">
        <f>MIN(0,E169-MAX($E$13:E169))</f>
        <v/>
      </c>
    </row>
    <row r="170">
      <c r="E170" s="4">
        <f>IF(OR(Trades!M159="WIN",Trades!M159="LOSS"),E169+Trades!N159,E169)</f>
        <v/>
      </c>
      <c r="F170" s="15">
        <f>MIN(0,E170-MAX($E$13:E170))</f>
        <v/>
      </c>
    </row>
    <row r="171">
      <c r="E171" s="4">
        <f>IF(OR(Trades!M160="WIN",Trades!M160="LOSS"),E170+Trades!N160,E170)</f>
        <v/>
      </c>
      <c r="F171" s="15">
        <f>MIN(0,E171-MAX($E$13:E171))</f>
        <v/>
      </c>
    </row>
    <row r="172">
      <c r="E172" s="4">
        <f>IF(OR(Trades!M161="WIN",Trades!M161="LOSS"),E171+Trades!N161,E171)</f>
        <v/>
      </c>
      <c r="F172" s="15">
        <f>MIN(0,E172-MAX($E$13:E172))</f>
        <v/>
      </c>
    </row>
    <row r="173">
      <c r="E173" s="4">
        <f>IF(OR(Trades!M162="WIN",Trades!M162="LOSS"),E172+Trades!N162,E172)</f>
        <v/>
      </c>
      <c r="F173" s="15">
        <f>MIN(0,E173-MAX($E$13:E173))</f>
        <v/>
      </c>
    </row>
    <row r="174">
      <c r="E174" s="4">
        <f>IF(OR(Trades!M163="WIN",Trades!M163="LOSS"),E173+Trades!N163,E173)</f>
        <v/>
      </c>
      <c r="F174" s="15">
        <f>MIN(0,E174-MAX($E$13:E174))</f>
        <v/>
      </c>
    </row>
    <row r="175">
      <c r="E175" s="4">
        <f>IF(OR(Trades!M164="WIN",Trades!M164="LOSS"),E174+Trades!N164,E174)</f>
        <v/>
      </c>
      <c r="F175" s="15">
        <f>MIN(0,E175-MAX($E$13:E175))</f>
        <v/>
      </c>
    </row>
    <row r="176">
      <c r="E176" s="4">
        <f>IF(OR(Trades!M165="WIN",Trades!M165="LOSS"),E175+Trades!N165,E175)</f>
        <v/>
      </c>
      <c r="F176" s="15">
        <f>MIN(0,E176-MAX($E$13:E176))</f>
        <v/>
      </c>
    </row>
    <row r="177">
      <c r="E177" s="4">
        <f>IF(OR(Trades!M166="WIN",Trades!M166="LOSS"),E176+Trades!N166,E176)</f>
        <v/>
      </c>
      <c r="F177" s="15">
        <f>MIN(0,E177-MAX($E$13:E177))</f>
        <v/>
      </c>
    </row>
    <row r="178">
      <c r="E178" s="4">
        <f>IF(OR(Trades!M167="WIN",Trades!M167="LOSS"),E177+Trades!N167,E177)</f>
        <v/>
      </c>
      <c r="F178" s="15">
        <f>MIN(0,E178-MAX($E$13:E178))</f>
        <v/>
      </c>
    </row>
    <row r="179">
      <c r="E179" s="4">
        <f>IF(OR(Trades!M168="WIN",Trades!M168="LOSS"),E178+Trades!N168,E178)</f>
        <v/>
      </c>
      <c r="F179" s="15">
        <f>MIN(0,E179-MAX($E$13:E179))</f>
        <v/>
      </c>
    </row>
    <row r="180">
      <c r="E180" s="4">
        <f>IF(OR(Trades!M169="WIN",Trades!M169="LOSS"),E179+Trades!N169,E179)</f>
        <v/>
      </c>
      <c r="F180" s="15">
        <f>MIN(0,E180-MAX($E$13:E180))</f>
        <v/>
      </c>
    </row>
    <row r="181">
      <c r="E181" s="4">
        <f>IF(OR(Trades!M170="WIN",Trades!M170="LOSS"),E180+Trades!N170,E180)</f>
        <v/>
      </c>
      <c r="F181" s="15">
        <f>MIN(0,E181-MAX($E$13:E181))</f>
        <v/>
      </c>
    </row>
    <row r="182">
      <c r="E182" s="4">
        <f>IF(OR(Trades!M171="WIN",Trades!M171="LOSS"),E181+Trades!N171,E181)</f>
        <v/>
      </c>
      <c r="F182" s="15">
        <f>MIN(0,E182-MAX($E$13:E182))</f>
        <v/>
      </c>
    </row>
    <row r="183">
      <c r="E183" s="4">
        <f>IF(OR(Trades!M172="WIN",Trades!M172="LOSS"),E182+Trades!N172,E182)</f>
        <v/>
      </c>
      <c r="F183" s="15">
        <f>MIN(0,E183-MAX($E$13:E183))</f>
        <v/>
      </c>
    </row>
    <row r="184">
      <c r="E184" s="4">
        <f>IF(OR(Trades!M173="WIN",Trades!M173="LOSS"),E183+Trades!N173,E183)</f>
        <v/>
      </c>
      <c r="F184" s="15">
        <f>MIN(0,E184-MAX($E$13:E184))</f>
        <v/>
      </c>
    </row>
    <row r="185">
      <c r="E185" s="4">
        <f>IF(OR(Trades!M174="WIN",Trades!M174="LOSS"),E184+Trades!N174,E184)</f>
        <v/>
      </c>
      <c r="F185" s="15">
        <f>MIN(0,E185-MAX($E$13:E185))</f>
        <v/>
      </c>
    </row>
    <row r="186">
      <c r="E186" s="4">
        <f>IF(OR(Trades!M175="WIN",Trades!M175="LOSS"),E185+Trades!N175,E185)</f>
        <v/>
      </c>
      <c r="F186" s="15">
        <f>MIN(0,E186-MAX($E$13:E186))</f>
        <v/>
      </c>
    </row>
    <row r="187">
      <c r="E187" s="4">
        <f>IF(OR(Trades!M176="WIN",Trades!M176="LOSS"),E186+Trades!N176,E186)</f>
        <v/>
      </c>
      <c r="F187" s="15">
        <f>MIN(0,E187-MAX($E$13:E187))</f>
        <v/>
      </c>
    </row>
    <row r="188">
      <c r="E188" s="4">
        <f>IF(OR(Trades!M177="WIN",Trades!M177="LOSS"),E187+Trades!N177,E187)</f>
        <v/>
      </c>
      <c r="F188" s="15">
        <f>MIN(0,E188-MAX($E$13:E188))</f>
        <v/>
      </c>
    </row>
    <row r="189">
      <c r="E189" s="4">
        <f>IF(OR(Trades!M178="WIN",Trades!M178="LOSS"),E188+Trades!N178,E188)</f>
        <v/>
      </c>
      <c r="F189" s="15">
        <f>MIN(0,E189-MAX($E$13:E189))</f>
        <v/>
      </c>
    </row>
    <row r="190">
      <c r="E190" s="4">
        <f>IF(OR(Trades!M179="WIN",Trades!M179="LOSS"),E189+Trades!N179,E189)</f>
        <v/>
      </c>
      <c r="F190" s="15">
        <f>MIN(0,E190-MAX($E$13:E190))</f>
        <v/>
      </c>
    </row>
    <row r="191">
      <c r="E191" s="4">
        <f>IF(OR(Trades!M180="WIN",Trades!M180="LOSS"),E190+Trades!N180,E190)</f>
        <v/>
      </c>
      <c r="F191" s="15">
        <f>MIN(0,E191-MAX($E$13:E191))</f>
        <v/>
      </c>
    </row>
    <row r="192">
      <c r="E192" s="4">
        <f>IF(OR(Trades!M181="WIN",Trades!M181="LOSS"),E191+Trades!N181,E191)</f>
        <v/>
      </c>
      <c r="F192" s="15">
        <f>MIN(0,E192-MAX($E$13:E192))</f>
        <v/>
      </c>
    </row>
    <row r="193">
      <c r="E193" s="4">
        <f>IF(OR(Trades!M182="WIN",Trades!M182="LOSS"),E192+Trades!N182,E192)</f>
        <v/>
      </c>
      <c r="F193" s="15">
        <f>MIN(0,E193-MAX($E$13:E193))</f>
        <v/>
      </c>
    </row>
    <row r="194">
      <c r="E194" s="4">
        <f>IF(OR(Trades!M183="WIN",Trades!M183="LOSS"),E193+Trades!N183,E193)</f>
        <v/>
      </c>
      <c r="F194" s="15">
        <f>MIN(0,E194-MAX($E$13:E194))</f>
        <v/>
      </c>
    </row>
    <row r="195">
      <c r="E195" s="4">
        <f>IF(OR(Trades!M184="WIN",Trades!M184="LOSS"),E194+Trades!N184,E194)</f>
        <v/>
      </c>
      <c r="F195" s="15">
        <f>MIN(0,E195-MAX($E$13:E195))</f>
        <v/>
      </c>
    </row>
    <row r="196">
      <c r="E196" s="4">
        <f>IF(OR(Trades!M185="WIN",Trades!M185="LOSS"),E195+Trades!N185,E195)</f>
        <v/>
      </c>
      <c r="F196" s="15">
        <f>MIN(0,E196-MAX($E$13:E196))</f>
        <v/>
      </c>
    </row>
    <row r="197">
      <c r="E197" s="4">
        <f>IF(OR(Trades!M186="WIN",Trades!M186="LOSS"),E196+Trades!N186,E196)</f>
        <v/>
      </c>
      <c r="F197" s="15">
        <f>MIN(0,E197-MAX($E$13:E197))</f>
        <v/>
      </c>
    </row>
    <row r="198">
      <c r="E198" s="4">
        <f>IF(OR(Trades!M187="WIN",Trades!M187="LOSS"),E197+Trades!N187,E197)</f>
        <v/>
      </c>
      <c r="F198" s="15">
        <f>MIN(0,E198-MAX($E$13:E198))</f>
        <v/>
      </c>
    </row>
    <row r="199">
      <c r="E199" s="4">
        <f>IF(OR(Trades!M188="WIN",Trades!M188="LOSS"),E198+Trades!N188,E198)</f>
        <v/>
      </c>
      <c r="F199" s="15">
        <f>MIN(0,E199-MAX($E$13:E199))</f>
        <v/>
      </c>
    </row>
    <row r="200">
      <c r="E200" s="4">
        <f>IF(OR(Trades!M189="WIN",Trades!M189="LOSS"),E199+Trades!N189,E199)</f>
        <v/>
      </c>
      <c r="F200" s="15">
        <f>MIN(0,E200-MAX($E$13:E200))</f>
        <v/>
      </c>
    </row>
    <row r="201">
      <c r="E201" s="4">
        <f>IF(OR(Trades!M190="WIN",Trades!M190="LOSS"),E200+Trades!N190,E200)</f>
        <v/>
      </c>
      <c r="F201" s="15">
        <f>MIN(0,E201-MAX($E$13:E201))</f>
        <v/>
      </c>
    </row>
    <row r="202">
      <c r="E202" s="4">
        <f>IF(OR(Trades!M191="WIN",Trades!M191="LOSS"),E201+Trades!N191,E201)</f>
        <v/>
      </c>
      <c r="F202" s="15">
        <f>MIN(0,E202-MAX($E$13:E202))</f>
        <v/>
      </c>
    </row>
    <row r="203">
      <c r="E203" s="4">
        <f>IF(OR(Trades!M192="WIN",Trades!M192="LOSS"),E202+Trades!N192,E202)</f>
        <v/>
      </c>
      <c r="F203" s="15">
        <f>MIN(0,E203-MAX($E$13:E203))</f>
        <v/>
      </c>
    </row>
    <row r="204">
      <c r="E204" s="4">
        <f>IF(OR(Trades!M193="WIN",Trades!M193="LOSS"),E203+Trades!N193,E203)</f>
        <v/>
      </c>
      <c r="F204" s="15">
        <f>MIN(0,E204-MAX($E$13:E204))</f>
        <v/>
      </c>
    </row>
    <row r="205">
      <c r="E205" s="4">
        <f>IF(OR(Trades!M194="WIN",Trades!M194="LOSS"),E204+Trades!N194,E204)</f>
        <v/>
      </c>
      <c r="F205" s="15">
        <f>MIN(0,E205-MAX($E$13:E205))</f>
        <v/>
      </c>
    </row>
    <row r="206">
      <c r="E206" s="4">
        <f>IF(OR(Trades!M195="WIN",Trades!M195="LOSS"),E205+Trades!N195,E205)</f>
        <v/>
      </c>
      <c r="F206" s="15">
        <f>MIN(0,E206-MAX($E$13:E206))</f>
        <v/>
      </c>
    </row>
    <row r="207">
      <c r="E207" s="4">
        <f>IF(OR(Trades!M196="WIN",Trades!M196="LOSS"),E206+Trades!N196,E206)</f>
        <v/>
      </c>
      <c r="F207" s="15">
        <f>MIN(0,E207-MAX($E$13:E207))</f>
        <v/>
      </c>
    </row>
    <row r="208">
      <c r="E208" s="4">
        <f>IF(OR(Trades!M197="WIN",Trades!M197="LOSS"),E207+Trades!N197,E207)</f>
        <v/>
      </c>
      <c r="F208" s="15">
        <f>MIN(0,E208-MAX($E$13:E208))</f>
        <v/>
      </c>
    </row>
    <row r="209">
      <c r="E209" s="4">
        <f>IF(OR(Trades!M198="WIN",Trades!M198="LOSS"),E208+Trades!N198,E208)</f>
        <v/>
      </c>
      <c r="F209" s="15">
        <f>MIN(0,E209-MAX($E$13:E209))</f>
        <v/>
      </c>
    </row>
    <row r="210">
      <c r="E210" s="4">
        <f>IF(OR(Trades!M199="WIN",Trades!M199="LOSS"),E209+Trades!N199,E209)</f>
        <v/>
      </c>
      <c r="F210" s="15">
        <f>MIN(0,E210-MAX($E$13:E210))</f>
        <v/>
      </c>
    </row>
    <row r="211">
      <c r="E211" s="4">
        <f>IF(OR(Trades!M200="WIN",Trades!M200="LOSS"),E210+Trades!N200,E210)</f>
        <v/>
      </c>
      <c r="F211" s="15">
        <f>MIN(0,E211-MAX($E$13:E211))</f>
        <v/>
      </c>
    </row>
    <row r="212">
      <c r="E212" s="4">
        <f>IF(OR(Trades!M201="WIN",Trades!M201="LOSS"),E211+Trades!N201,E211)</f>
        <v/>
      </c>
      <c r="F212" s="15">
        <f>MIN(0,E212-MAX($E$13:E212))</f>
        <v/>
      </c>
    </row>
    <row r="213">
      <c r="E213" s="4">
        <f>IF(OR(Trades!M202="WIN",Trades!M202="LOSS"),E212+Trades!N202,E212)</f>
        <v/>
      </c>
      <c r="F213" s="15">
        <f>MIN(0,E213-MAX($E$13:E213))</f>
        <v/>
      </c>
    </row>
    <row r="214">
      <c r="E214" s="4">
        <f>IF(OR(Trades!M203="WIN",Trades!M203="LOSS"),E213+Trades!N203,E213)</f>
        <v/>
      </c>
      <c r="F214" s="15">
        <f>MIN(0,E214-MAX($E$13:E214))</f>
        <v/>
      </c>
    </row>
    <row r="215">
      <c r="E215" s="4">
        <f>IF(OR(Trades!M204="WIN",Trades!M204="LOSS"),E214+Trades!N204,E214)</f>
        <v/>
      </c>
      <c r="F215" s="15">
        <f>MIN(0,E215-MAX($E$13:E215))</f>
        <v/>
      </c>
    </row>
    <row r="216">
      <c r="E216" s="4">
        <f>IF(OR(Trades!M205="WIN",Trades!M205="LOSS"),E215+Trades!N205,E215)</f>
        <v/>
      </c>
      <c r="F216" s="15">
        <f>MIN(0,E216-MAX($E$13:E216))</f>
        <v/>
      </c>
    </row>
    <row r="217">
      <c r="E217" s="4">
        <f>IF(OR(Trades!M206="WIN",Trades!M206="LOSS"),E216+Trades!N206,E216)</f>
        <v/>
      </c>
      <c r="F217" s="15">
        <f>MIN(0,E217-MAX($E$13:E217))</f>
        <v/>
      </c>
    </row>
    <row r="218">
      <c r="E218" s="4">
        <f>IF(OR(Trades!M207="WIN",Trades!M207="LOSS"),E217+Trades!N207,E217)</f>
        <v/>
      </c>
      <c r="F218" s="15">
        <f>MIN(0,E218-MAX($E$13:E218))</f>
        <v/>
      </c>
    </row>
    <row r="219">
      <c r="E219" s="4">
        <f>IF(OR(Trades!M208="WIN",Trades!M208="LOSS"),E218+Trades!N208,E218)</f>
        <v/>
      </c>
      <c r="F219" s="15">
        <f>MIN(0,E219-MAX($E$13:E219))</f>
        <v/>
      </c>
    </row>
    <row r="220">
      <c r="E220" s="4">
        <f>IF(OR(Trades!M209="WIN",Trades!M209="LOSS"),E219+Trades!N209,E219)</f>
        <v/>
      </c>
      <c r="F220" s="15">
        <f>MIN(0,E220-MAX($E$13:E220))</f>
        <v/>
      </c>
    </row>
    <row r="221">
      <c r="E221" s="4">
        <f>IF(OR(Trades!M210="WIN",Trades!M210="LOSS"),E220+Trades!N210,E220)</f>
        <v/>
      </c>
      <c r="F221" s="15">
        <f>MIN(0,E221-MAX($E$13:E221))</f>
        <v/>
      </c>
    </row>
    <row r="222">
      <c r="E222" s="4">
        <f>IF(OR(Trades!M211="WIN",Trades!M211="LOSS"),E221+Trades!N211,E221)</f>
        <v/>
      </c>
      <c r="F222" s="15">
        <f>MIN(0,E222-MAX($E$13:E222))</f>
        <v/>
      </c>
    </row>
    <row r="223">
      <c r="E223" s="4">
        <f>IF(OR(Trades!M212="WIN",Trades!M212="LOSS"),E222+Trades!N212,E222)</f>
        <v/>
      </c>
      <c r="F223" s="15">
        <f>MIN(0,E223-MAX($E$13:E223))</f>
        <v/>
      </c>
    </row>
    <row r="224">
      <c r="E224" s="4">
        <f>IF(OR(Trades!M213="WIN",Trades!M213="LOSS"),E223+Trades!N213,E223)</f>
        <v/>
      </c>
      <c r="F224" s="15">
        <f>MIN(0,E224-MAX($E$13:E224))</f>
        <v/>
      </c>
    </row>
    <row r="225">
      <c r="E225" s="4">
        <f>IF(OR(Trades!M214="WIN",Trades!M214="LOSS"),E224+Trades!N214,E224)</f>
        <v/>
      </c>
      <c r="F225" s="15">
        <f>MIN(0,E225-MAX($E$13:E225))</f>
        <v/>
      </c>
    </row>
    <row r="226">
      <c r="E226" s="4">
        <f>IF(OR(Trades!M215="WIN",Trades!M215="LOSS"),E225+Trades!N215,E225)</f>
        <v/>
      </c>
      <c r="F226" s="15">
        <f>MIN(0,E226-MAX($E$13:E226))</f>
        <v/>
      </c>
    </row>
    <row r="227">
      <c r="E227" s="4">
        <f>IF(OR(Trades!M216="WIN",Trades!M216="LOSS"),E226+Trades!N216,E226)</f>
        <v/>
      </c>
      <c r="F227" s="15">
        <f>MIN(0,E227-MAX($E$13:E227))</f>
        <v/>
      </c>
    </row>
    <row r="228">
      <c r="E228" s="4">
        <f>IF(OR(Trades!M217="WIN",Trades!M217="LOSS"),E227+Trades!N217,E227)</f>
        <v/>
      </c>
      <c r="F228" s="15">
        <f>MIN(0,E228-MAX($E$13:E228))</f>
        <v/>
      </c>
    </row>
    <row r="229">
      <c r="E229" s="4">
        <f>IF(OR(Trades!M218="WIN",Trades!M218="LOSS"),E228+Trades!N218,E228)</f>
        <v/>
      </c>
      <c r="F229" s="15">
        <f>MIN(0,E229-MAX($E$13:E229))</f>
        <v/>
      </c>
    </row>
    <row r="230">
      <c r="E230" s="4">
        <f>IF(OR(Trades!M219="WIN",Trades!M219="LOSS"),E229+Trades!N219,E229)</f>
        <v/>
      </c>
      <c r="F230" s="15">
        <f>MIN(0,E230-MAX($E$13:E230))</f>
        <v/>
      </c>
    </row>
    <row r="231">
      <c r="E231" s="4">
        <f>IF(OR(Trades!M220="WIN",Trades!M220="LOSS"),E230+Trades!N220,E230)</f>
        <v/>
      </c>
      <c r="F231" s="15">
        <f>MIN(0,E231-MAX($E$13:E231))</f>
        <v/>
      </c>
    </row>
    <row r="232">
      <c r="E232" s="4">
        <f>IF(OR(Trades!M221="WIN",Trades!M221="LOSS"),E231+Trades!N221,E231)</f>
        <v/>
      </c>
      <c r="F232" s="15">
        <f>MIN(0,E232-MAX($E$13:E232))</f>
        <v/>
      </c>
    </row>
    <row r="233">
      <c r="E233" s="4">
        <f>IF(OR(Trades!M222="WIN",Trades!M222="LOSS"),E232+Trades!N222,E232)</f>
        <v/>
      </c>
      <c r="F233" s="15">
        <f>MIN(0,E233-MAX($E$13:E233))</f>
        <v/>
      </c>
    </row>
    <row r="234">
      <c r="E234" s="4">
        <f>IF(OR(Trades!M223="WIN",Trades!M223="LOSS"),E233+Trades!N223,E233)</f>
        <v/>
      </c>
      <c r="F234" s="15">
        <f>MIN(0,E234-MAX($E$13:E234))</f>
        <v/>
      </c>
    </row>
    <row r="235">
      <c r="E235" s="4">
        <f>IF(OR(Trades!M224="WIN",Trades!M224="LOSS"),E234+Trades!N224,E234)</f>
        <v/>
      </c>
      <c r="F235" s="15">
        <f>MIN(0,E235-MAX($E$13:E235))</f>
        <v/>
      </c>
    </row>
    <row r="236">
      <c r="E236" s="4">
        <f>IF(OR(Trades!M225="WIN",Trades!M225="LOSS"),E235+Trades!N225,E235)</f>
        <v/>
      </c>
      <c r="F236" s="15">
        <f>MIN(0,E236-MAX($E$13:E236))</f>
        <v/>
      </c>
    </row>
    <row r="237">
      <c r="E237" s="4">
        <f>IF(OR(Trades!M226="WIN",Trades!M226="LOSS"),E236+Trades!N226,E236)</f>
        <v/>
      </c>
      <c r="F237" s="15">
        <f>MIN(0,E237-MAX($E$13:E237))</f>
        <v/>
      </c>
    </row>
    <row r="238">
      <c r="E238" s="4">
        <f>IF(OR(Trades!M227="WIN",Trades!M227="LOSS"),E237+Trades!N227,E237)</f>
        <v/>
      </c>
      <c r="F238" s="15">
        <f>MIN(0,E238-MAX($E$13:E238))</f>
        <v/>
      </c>
    </row>
    <row r="239">
      <c r="E239" s="4">
        <f>IF(OR(Trades!M228="WIN",Trades!M228="LOSS"),E238+Trades!N228,E238)</f>
        <v/>
      </c>
      <c r="F239" s="15">
        <f>MIN(0,E239-MAX($E$13:E239))</f>
        <v/>
      </c>
    </row>
    <row r="240">
      <c r="E240" s="4">
        <f>IF(OR(Trades!M229="WIN",Trades!M229="LOSS"),E239+Trades!N229,E239)</f>
        <v/>
      </c>
      <c r="F240" s="15">
        <f>MIN(0,E240-MAX($E$13:E240))</f>
        <v/>
      </c>
    </row>
    <row r="241">
      <c r="E241" s="4">
        <f>IF(OR(Trades!M230="WIN",Trades!M230="LOSS"),E240+Trades!N230,E240)</f>
        <v/>
      </c>
      <c r="F241" s="15">
        <f>MIN(0,E241-MAX($E$13:E241))</f>
        <v/>
      </c>
    </row>
    <row r="242">
      <c r="E242" s="4">
        <f>IF(OR(Trades!M231="WIN",Trades!M231="LOSS"),E241+Trades!N231,E241)</f>
        <v/>
      </c>
      <c r="F242" s="15">
        <f>MIN(0,E242-MAX($E$13:E242))</f>
        <v/>
      </c>
    </row>
    <row r="243">
      <c r="E243" s="4">
        <f>IF(OR(Trades!M232="WIN",Trades!M232="LOSS"),E242+Trades!N232,E242)</f>
        <v/>
      </c>
      <c r="F243" s="15">
        <f>MIN(0,E243-MAX($E$13:E243))</f>
        <v/>
      </c>
    </row>
    <row r="244">
      <c r="E244" s="4">
        <f>IF(OR(Trades!M233="WIN",Trades!M233="LOSS"),E243+Trades!N233,E243)</f>
        <v/>
      </c>
      <c r="F244" s="15">
        <f>MIN(0,E244-MAX($E$13:E244))</f>
        <v/>
      </c>
    </row>
    <row r="245">
      <c r="E245" s="4">
        <f>IF(OR(Trades!M234="WIN",Trades!M234="LOSS"),E244+Trades!N234,E244)</f>
        <v/>
      </c>
      <c r="F245" s="15">
        <f>MIN(0,E245-MAX($E$13:E245))</f>
        <v/>
      </c>
    </row>
    <row r="246">
      <c r="E246" s="4">
        <f>IF(OR(Trades!M235="WIN",Trades!M235="LOSS"),E245+Trades!N235,E245)</f>
        <v/>
      </c>
      <c r="F246" s="15">
        <f>MIN(0,E246-MAX($E$13:E246))</f>
        <v/>
      </c>
    </row>
    <row r="247">
      <c r="E247" s="4">
        <f>IF(OR(Trades!M236="WIN",Trades!M236="LOSS"),E246+Trades!N236,E246)</f>
        <v/>
      </c>
      <c r="F247" s="15">
        <f>MIN(0,E247-MAX($E$13:E247))</f>
        <v/>
      </c>
    </row>
    <row r="248">
      <c r="E248" s="4">
        <f>IF(OR(Trades!M237="WIN",Trades!M237="LOSS"),E247+Trades!N237,E247)</f>
        <v/>
      </c>
      <c r="F248" s="15">
        <f>MIN(0,E248-MAX($E$13:E248))</f>
        <v/>
      </c>
    </row>
    <row r="249">
      <c r="E249" s="4">
        <f>IF(OR(Trades!M238="WIN",Trades!M238="LOSS"),E248+Trades!N238,E248)</f>
        <v/>
      </c>
      <c r="F249" s="15">
        <f>MIN(0,E249-MAX($E$13:E249))</f>
        <v/>
      </c>
    </row>
    <row r="250">
      <c r="E250" s="4">
        <f>IF(OR(Trades!M239="WIN",Trades!M239="LOSS"),E249+Trades!N239,E249)</f>
        <v/>
      </c>
      <c r="F250" s="15">
        <f>MIN(0,E250-MAX($E$13:E250))</f>
        <v/>
      </c>
    </row>
    <row r="251">
      <c r="E251" s="4">
        <f>IF(OR(Trades!M240="WIN",Trades!M240="LOSS"),E250+Trades!N240,E250)</f>
        <v/>
      </c>
      <c r="F251" s="15">
        <f>MIN(0,E251-MAX($E$13:E251))</f>
        <v/>
      </c>
    </row>
    <row r="252">
      <c r="E252" s="4">
        <f>IF(OR(Trades!M241="WIN",Trades!M241="LOSS"),E251+Trades!N241,E251)</f>
        <v/>
      </c>
      <c r="F252" s="15">
        <f>MIN(0,E252-MAX($E$13:E252))</f>
        <v/>
      </c>
    </row>
    <row r="253">
      <c r="E253" s="4">
        <f>IF(OR(Trades!M242="WIN",Trades!M242="LOSS"),E252+Trades!N242,E252)</f>
        <v/>
      </c>
      <c r="F253" s="15">
        <f>MIN(0,E253-MAX($E$13:E253))</f>
        <v/>
      </c>
    </row>
    <row r="254">
      <c r="E254" s="4">
        <f>IF(OR(Trades!M243="WIN",Trades!M243="LOSS"),E253+Trades!N243,E253)</f>
        <v/>
      </c>
      <c r="F254" s="15">
        <f>MIN(0,E254-MAX($E$13:E254))</f>
        <v/>
      </c>
    </row>
    <row r="255">
      <c r="E255" s="4">
        <f>IF(OR(Trades!M244="WIN",Trades!M244="LOSS"),E254+Trades!N244,E254)</f>
        <v/>
      </c>
      <c r="F255" s="15">
        <f>MIN(0,E255-MAX($E$13:E255))</f>
        <v/>
      </c>
    </row>
    <row r="256">
      <c r="E256" s="4">
        <f>IF(OR(Trades!M245="WIN",Trades!M245="LOSS"),E255+Trades!N245,E255)</f>
        <v/>
      </c>
      <c r="F256" s="15">
        <f>MIN(0,E256-MAX($E$13:E256))</f>
        <v/>
      </c>
    </row>
    <row r="257">
      <c r="E257" s="4">
        <f>IF(OR(Trades!M246="WIN",Trades!M246="LOSS"),E256+Trades!N246,E256)</f>
        <v/>
      </c>
      <c r="F257" s="15">
        <f>MIN(0,E257-MAX($E$13:E257))</f>
        <v/>
      </c>
    </row>
    <row r="258">
      <c r="E258" s="4">
        <f>IF(OR(Trades!M247="WIN",Trades!M247="LOSS"),E257+Trades!N247,E257)</f>
        <v/>
      </c>
      <c r="F258" s="15">
        <f>MIN(0,E258-MAX($E$13:E258))</f>
        <v/>
      </c>
    </row>
    <row r="259">
      <c r="E259" s="4">
        <f>IF(OR(Trades!M248="WIN",Trades!M248="LOSS"),E258+Trades!N248,E258)</f>
        <v/>
      </c>
      <c r="F259" s="15">
        <f>MIN(0,E259-MAX($E$13:E259))</f>
        <v/>
      </c>
    </row>
    <row r="260">
      <c r="E260" s="4">
        <f>IF(OR(Trades!M249="WIN",Trades!M249="LOSS"),E259+Trades!N249,E259)</f>
        <v/>
      </c>
      <c r="F260" s="15">
        <f>MIN(0,E260-MAX($E$13:E260))</f>
        <v/>
      </c>
    </row>
    <row r="261">
      <c r="E261" s="4">
        <f>IF(OR(Trades!M250="WIN",Trades!M250="LOSS"),E260+Trades!N250,E260)</f>
        <v/>
      </c>
      <c r="F261" s="15">
        <f>MIN(0,E261-MAX($E$13:E261))</f>
        <v/>
      </c>
    </row>
    <row r="262">
      <c r="E262" s="4">
        <f>IF(OR(Trades!M251="WIN",Trades!M251="LOSS"),E261+Trades!N251,E261)</f>
        <v/>
      </c>
      <c r="F262" s="15">
        <f>MIN(0,E262-MAX($E$13:E262))</f>
        <v/>
      </c>
    </row>
    <row r="263">
      <c r="E263" s="4">
        <f>IF(OR(Trades!M252="WIN",Trades!M252="LOSS"),E262+Trades!N252,E262)</f>
        <v/>
      </c>
      <c r="F263" s="15">
        <f>MIN(0,E263-MAX($E$13:E263))</f>
        <v/>
      </c>
    </row>
    <row r="264">
      <c r="E264" s="4">
        <f>IF(OR(Trades!M253="WIN",Trades!M253="LOSS"),E263+Trades!N253,E263)</f>
        <v/>
      </c>
      <c r="F264" s="15">
        <f>MIN(0,E264-MAX($E$13:E264))</f>
        <v/>
      </c>
    </row>
    <row r="265">
      <c r="E265" s="4">
        <f>IF(OR(Trades!M254="WIN",Trades!M254="LOSS"),E264+Trades!N254,E264)</f>
        <v/>
      </c>
      <c r="F265" s="15">
        <f>MIN(0,E265-MAX($E$13:E265))</f>
        <v/>
      </c>
    </row>
    <row r="266">
      <c r="E266" s="4">
        <f>IF(OR(Trades!M255="WIN",Trades!M255="LOSS"),E265+Trades!N255,E265)</f>
        <v/>
      </c>
      <c r="F266" s="15">
        <f>MIN(0,E266-MAX($E$13:E266))</f>
        <v/>
      </c>
    </row>
    <row r="267">
      <c r="E267" s="4">
        <f>IF(OR(Trades!M256="WIN",Trades!M256="LOSS"),E266+Trades!N256,E266)</f>
        <v/>
      </c>
      <c r="F267" s="15">
        <f>MIN(0,E267-MAX($E$13:E267))</f>
        <v/>
      </c>
    </row>
    <row r="268">
      <c r="E268" s="4">
        <f>IF(OR(Trades!M257="WIN",Trades!M257="LOSS"),E267+Trades!N257,E267)</f>
        <v/>
      </c>
      <c r="F268" s="15">
        <f>MIN(0,E268-MAX($E$13:E268))</f>
        <v/>
      </c>
    </row>
    <row r="269">
      <c r="E269" s="4">
        <f>IF(OR(Trades!M258="WIN",Trades!M258="LOSS"),E268+Trades!N258,E268)</f>
        <v/>
      </c>
      <c r="F269" s="15">
        <f>MIN(0,E269-MAX($E$13:E269))</f>
        <v/>
      </c>
    </row>
    <row r="270">
      <c r="E270" s="4">
        <f>IF(OR(Trades!M259="WIN",Trades!M259="LOSS"),E269+Trades!N259,E269)</f>
        <v/>
      </c>
      <c r="F270" s="15">
        <f>MIN(0,E270-MAX($E$13:E270))</f>
        <v/>
      </c>
    </row>
    <row r="271">
      <c r="E271" s="4">
        <f>IF(OR(Trades!M260="WIN",Trades!M260="LOSS"),E270+Trades!N260,E270)</f>
        <v/>
      </c>
      <c r="F271" s="15">
        <f>MIN(0,E271-MAX($E$13:E271))</f>
        <v/>
      </c>
    </row>
    <row r="272">
      <c r="E272" s="4">
        <f>IF(OR(Trades!M261="WIN",Trades!M261="LOSS"),E271+Trades!N261,E271)</f>
        <v/>
      </c>
      <c r="F272" s="15">
        <f>MIN(0,E272-MAX($E$13:E272))</f>
        <v/>
      </c>
    </row>
    <row r="273">
      <c r="E273" s="4">
        <f>IF(OR(Trades!M262="WIN",Trades!M262="LOSS"),E272+Trades!N262,E272)</f>
        <v/>
      </c>
      <c r="F273" s="15">
        <f>MIN(0,E273-MAX($E$13:E273))</f>
        <v/>
      </c>
    </row>
    <row r="274">
      <c r="E274" s="4">
        <f>IF(OR(Trades!M263="WIN",Trades!M263="LOSS"),E273+Trades!N263,E273)</f>
        <v/>
      </c>
      <c r="F274" s="15">
        <f>MIN(0,E274-MAX($E$13:E274))</f>
        <v/>
      </c>
    </row>
    <row r="275">
      <c r="E275" s="4">
        <f>IF(OR(Trades!M264="WIN",Trades!M264="LOSS"),E274+Trades!N264,E274)</f>
        <v/>
      </c>
      <c r="F275" s="15">
        <f>MIN(0,E275-MAX($E$13:E275))</f>
        <v/>
      </c>
    </row>
    <row r="276">
      <c r="E276" s="4">
        <f>IF(OR(Trades!M265="WIN",Trades!M265="LOSS"),E275+Trades!N265,E275)</f>
        <v/>
      </c>
      <c r="F276" s="15">
        <f>MIN(0,E276-MAX($E$13:E276))</f>
        <v/>
      </c>
    </row>
    <row r="277">
      <c r="E277" s="4">
        <f>IF(OR(Trades!M266="WIN",Trades!M266="LOSS"),E276+Trades!N266,E276)</f>
        <v/>
      </c>
      <c r="F277" s="15">
        <f>MIN(0,E277-MAX($E$13:E277))</f>
        <v/>
      </c>
    </row>
    <row r="278">
      <c r="E278" s="4">
        <f>IF(OR(Trades!M267="WIN",Trades!M267="LOSS"),E277+Trades!N267,E277)</f>
        <v/>
      </c>
      <c r="F278" s="15">
        <f>MIN(0,E278-MAX($E$13:E278))</f>
        <v/>
      </c>
    </row>
    <row r="279">
      <c r="E279" s="4">
        <f>IF(OR(Trades!M268="WIN",Trades!M268="LOSS"),E278+Trades!N268,E278)</f>
        <v/>
      </c>
      <c r="F279" s="15">
        <f>MIN(0,E279-MAX($E$13:E279))</f>
        <v/>
      </c>
    </row>
    <row r="280">
      <c r="E280" s="4">
        <f>IF(OR(Trades!M269="WIN",Trades!M269="LOSS"),E279+Trades!N269,E279)</f>
        <v/>
      </c>
      <c r="F280" s="15">
        <f>MIN(0,E280-MAX($E$13:E280))</f>
        <v/>
      </c>
    </row>
    <row r="281">
      <c r="E281" s="4">
        <f>IF(OR(Trades!M270="WIN",Trades!M270="LOSS"),E280+Trades!N270,E280)</f>
        <v/>
      </c>
      <c r="F281" s="15">
        <f>MIN(0,E281-MAX($E$13:E281))</f>
        <v/>
      </c>
    </row>
    <row r="282">
      <c r="E282" s="4">
        <f>IF(OR(Trades!M271="WIN",Trades!M271="LOSS"),E281+Trades!N271,E281)</f>
        <v/>
      </c>
      <c r="F282" s="15">
        <f>MIN(0,E282-MAX($E$13:E282))</f>
        <v/>
      </c>
    </row>
    <row r="283">
      <c r="E283" s="4">
        <f>IF(OR(Trades!M272="WIN",Trades!M272="LOSS"),E282+Trades!N272,E282)</f>
        <v/>
      </c>
      <c r="F283" s="15">
        <f>MIN(0,E283-MAX($E$13:E283))</f>
        <v/>
      </c>
    </row>
    <row r="284">
      <c r="E284" s="4">
        <f>IF(OR(Trades!M273="WIN",Trades!M273="LOSS"),E283+Trades!N273,E283)</f>
        <v/>
      </c>
      <c r="F284" s="15">
        <f>MIN(0,E284-MAX($E$13:E284))</f>
        <v/>
      </c>
    </row>
    <row r="285">
      <c r="E285" s="4">
        <f>IF(OR(Trades!M274="WIN",Trades!M274="LOSS"),E284+Trades!N274,E284)</f>
        <v/>
      </c>
      <c r="F285" s="15">
        <f>MIN(0,E285-MAX($E$13:E285))</f>
        <v/>
      </c>
    </row>
    <row r="286">
      <c r="E286" s="4">
        <f>IF(OR(Trades!M275="WIN",Trades!M275="LOSS"),E285+Trades!N275,E285)</f>
        <v/>
      </c>
      <c r="F286" s="15">
        <f>MIN(0,E286-MAX($E$13:E286))</f>
        <v/>
      </c>
    </row>
    <row r="287">
      <c r="E287" s="4">
        <f>IF(OR(Trades!M276="WIN",Trades!M276="LOSS"),E286+Trades!N276,E286)</f>
        <v/>
      </c>
      <c r="F287" s="15">
        <f>MIN(0,E287-MAX($E$13:E287))</f>
        <v/>
      </c>
    </row>
    <row r="288">
      <c r="E288" s="4">
        <f>IF(OR(Trades!M277="WIN",Trades!M277="LOSS"),E287+Trades!N277,E287)</f>
        <v/>
      </c>
      <c r="F288" s="15">
        <f>MIN(0,E288-MAX($E$13:E288))</f>
        <v/>
      </c>
    </row>
    <row r="289">
      <c r="E289" s="4">
        <f>IF(OR(Trades!M278="WIN",Trades!M278="LOSS"),E288+Trades!N278,E288)</f>
        <v/>
      </c>
      <c r="F289" s="15">
        <f>MIN(0,E289-MAX($E$13:E289))</f>
        <v/>
      </c>
    </row>
    <row r="290">
      <c r="E290" s="4">
        <f>IF(OR(Trades!M279="WIN",Trades!M279="LOSS"),E289+Trades!N279,E289)</f>
        <v/>
      </c>
      <c r="F290" s="15">
        <f>MIN(0,E290-MAX($E$13:E290))</f>
        <v/>
      </c>
    </row>
    <row r="291">
      <c r="E291" s="4">
        <f>IF(OR(Trades!M280="WIN",Trades!M280="LOSS"),E290+Trades!N280,E290)</f>
        <v/>
      </c>
      <c r="F291" s="15">
        <f>MIN(0,E291-MAX($E$13:E291))</f>
        <v/>
      </c>
    </row>
    <row r="292">
      <c r="E292" s="4">
        <f>IF(OR(Trades!M281="WIN",Trades!M281="LOSS"),E291+Trades!N281,E291)</f>
        <v/>
      </c>
      <c r="F292" s="15">
        <f>MIN(0,E292-MAX($E$13:E292))</f>
        <v/>
      </c>
    </row>
    <row r="293">
      <c r="E293" s="4">
        <f>IF(OR(Trades!M282="WIN",Trades!M282="LOSS"),E292+Trades!N282,E292)</f>
        <v/>
      </c>
      <c r="F293" s="15">
        <f>MIN(0,E293-MAX($E$13:E293))</f>
        <v/>
      </c>
    </row>
    <row r="294">
      <c r="E294" s="4">
        <f>IF(OR(Trades!M283="WIN",Trades!M283="LOSS"),E293+Trades!N283,E293)</f>
        <v/>
      </c>
      <c r="F294" s="15">
        <f>MIN(0,E294-MAX($E$13:E294))</f>
        <v/>
      </c>
    </row>
    <row r="295">
      <c r="E295" s="4">
        <f>IF(OR(Trades!M284="WIN",Trades!M284="LOSS"),E294+Trades!N284,E294)</f>
        <v/>
      </c>
      <c r="F295" s="15">
        <f>MIN(0,E295-MAX($E$13:E295))</f>
        <v/>
      </c>
    </row>
    <row r="296">
      <c r="E296" s="4">
        <f>IF(OR(Trades!M285="WIN",Trades!M285="LOSS"),E295+Trades!N285,E295)</f>
        <v/>
      </c>
      <c r="F296" s="15">
        <f>MIN(0,E296-MAX($E$13:E296))</f>
        <v/>
      </c>
    </row>
    <row r="297">
      <c r="E297" s="4">
        <f>IF(OR(Trades!M286="WIN",Trades!M286="LOSS"),E296+Trades!N286,E296)</f>
        <v/>
      </c>
      <c r="F297" s="15">
        <f>MIN(0,E297-MAX($E$13:E297))</f>
        <v/>
      </c>
    </row>
    <row r="298">
      <c r="E298" s="4">
        <f>IF(OR(Trades!M287="WIN",Trades!M287="LOSS"),E297+Trades!N287,E297)</f>
        <v/>
      </c>
      <c r="F298" s="15">
        <f>MIN(0,E298-MAX($E$13:E298))</f>
        <v/>
      </c>
    </row>
    <row r="299">
      <c r="E299" s="4">
        <f>IF(OR(Trades!M288="WIN",Trades!M288="LOSS"),E298+Trades!N288,E298)</f>
        <v/>
      </c>
      <c r="F299" s="15">
        <f>MIN(0,E299-MAX($E$13:E299))</f>
        <v/>
      </c>
    </row>
    <row r="300">
      <c r="E300" s="4">
        <f>IF(OR(Trades!M289="WIN",Trades!M289="LOSS"),E299+Trades!N289,E299)</f>
        <v/>
      </c>
      <c r="F300" s="15">
        <f>MIN(0,E300-MAX($E$13:E300))</f>
        <v/>
      </c>
    </row>
    <row r="301">
      <c r="E301" s="4">
        <f>IF(OR(Trades!M290="WIN",Trades!M290="LOSS"),E300+Trades!N290,E300)</f>
        <v/>
      </c>
      <c r="F301" s="15">
        <f>MIN(0,E301-MAX($E$13:E301))</f>
        <v/>
      </c>
    </row>
    <row r="302">
      <c r="E302" s="4">
        <f>IF(OR(Trades!M291="WIN",Trades!M291="LOSS"),E301+Trades!N291,E301)</f>
        <v/>
      </c>
      <c r="F302" s="15">
        <f>MIN(0,E302-MAX($E$13:E302))</f>
        <v/>
      </c>
    </row>
    <row r="303">
      <c r="E303" s="4">
        <f>IF(OR(Trades!M292="WIN",Trades!M292="LOSS"),E302+Trades!N292,E302)</f>
        <v/>
      </c>
      <c r="F303" s="15">
        <f>MIN(0,E303-MAX($E$13:E303))</f>
        <v/>
      </c>
    </row>
    <row r="304">
      <c r="E304" s="4">
        <f>IF(OR(Trades!M293="WIN",Trades!M293="LOSS"),E303+Trades!N293,E303)</f>
        <v/>
      </c>
      <c r="F304" s="15">
        <f>MIN(0,E304-MAX($E$13:E304))</f>
        <v/>
      </c>
    </row>
    <row r="305">
      <c r="E305" s="4">
        <f>IF(OR(Trades!M294="WIN",Trades!M294="LOSS"),E304+Trades!N294,E304)</f>
        <v/>
      </c>
      <c r="F305" s="15">
        <f>MIN(0,E305-MAX($E$13:E305))</f>
        <v/>
      </c>
    </row>
    <row r="306">
      <c r="E306" s="4">
        <f>IF(OR(Trades!M295="WIN",Trades!M295="LOSS"),E305+Trades!N295,E305)</f>
        <v/>
      </c>
      <c r="F306" s="15">
        <f>MIN(0,E306-MAX($E$13:E306))</f>
        <v/>
      </c>
    </row>
    <row r="307">
      <c r="E307" s="4">
        <f>IF(OR(Trades!M296="WIN",Trades!M296="LOSS"),E306+Trades!N296,E306)</f>
        <v/>
      </c>
      <c r="F307" s="15">
        <f>MIN(0,E307-MAX($E$13:E307))</f>
        <v/>
      </c>
    </row>
    <row r="308">
      <c r="E308" s="4">
        <f>IF(OR(Trades!M297="WIN",Trades!M297="LOSS"),E307+Trades!N297,E307)</f>
        <v/>
      </c>
      <c r="F308" s="15">
        <f>MIN(0,E308-MAX($E$13:E308))</f>
        <v/>
      </c>
    </row>
    <row r="309">
      <c r="E309" s="4">
        <f>IF(OR(Trades!M298="WIN",Trades!M298="LOSS"),E308+Trades!N298,E308)</f>
        <v/>
      </c>
      <c r="F309" s="15">
        <f>MIN(0,E309-MAX($E$13:E309))</f>
        <v/>
      </c>
    </row>
    <row r="310">
      <c r="E310" s="4">
        <f>IF(OR(Trades!M299="WIN",Trades!M299="LOSS"),E309+Trades!N299,E309)</f>
        <v/>
      </c>
      <c r="F310" s="15">
        <f>MIN(0,E310-MAX($E$13:E310))</f>
        <v/>
      </c>
    </row>
    <row r="311">
      <c r="E311" s="4">
        <f>IF(OR(Trades!M300="WIN",Trades!M300="LOSS"),E310+Trades!N300,E310)</f>
        <v/>
      </c>
      <c r="F311" s="15">
        <f>MIN(0,E311-MAX($E$13:E311))</f>
        <v/>
      </c>
    </row>
    <row r="312">
      <c r="E312" s="4">
        <f>IF(OR(Trades!M301="WIN",Trades!M301="LOSS"),E311+Trades!N301,E311)</f>
        <v/>
      </c>
      <c r="F312" s="15">
        <f>MIN(0,E312-MAX($E$13:E312))</f>
        <v/>
      </c>
    </row>
    <row r="313">
      <c r="E313" s="4">
        <f>IF(OR(Trades!M302="WIN",Trades!M302="LOSS"),E312+Trades!N302,E312)</f>
        <v/>
      </c>
      <c r="F313" s="15">
        <f>MIN(0,E313-MAX($E$13:E313))</f>
        <v/>
      </c>
    </row>
    <row r="314">
      <c r="E314" s="4">
        <f>IF(OR(Trades!M303="WIN",Trades!M303="LOSS"),E313+Trades!N303,E313)</f>
        <v/>
      </c>
      <c r="F314" s="15">
        <f>MIN(0,E314-MAX($E$13:E314))</f>
        <v/>
      </c>
    </row>
    <row r="315">
      <c r="E315" s="4">
        <f>IF(OR(Trades!M304="WIN",Trades!M304="LOSS"),E314+Trades!N304,E314)</f>
        <v/>
      </c>
      <c r="F315" s="15">
        <f>MIN(0,E315-MAX($E$13:E315))</f>
        <v/>
      </c>
    </row>
    <row r="316">
      <c r="E316" s="4">
        <f>IF(OR(Trades!M305="WIN",Trades!M305="LOSS"),E315+Trades!N305,E315)</f>
        <v/>
      </c>
      <c r="F316" s="15">
        <f>MIN(0,E316-MAX($E$13:E316))</f>
        <v/>
      </c>
    </row>
    <row r="317">
      <c r="E317" s="4">
        <f>IF(OR(Trades!M306="WIN",Trades!M306="LOSS"),E316+Trades!N306,E316)</f>
        <v/>
      </c>
      <c r="F317" s="15">
        <f>MIN(0,E317-MAX($E$13:E317))</f>
        <v/>
      </c>
    </row>
    <row r="318">
      <c r="E318" s="4">
        <f>IF(OR(Trades!M307="WIN",Trades!M307="LOSS"),E317+Trades!N307,E317)</f>
        <v/>
      </c>
      <c r="F318" s="15">
        <f>MIN(0,E318-MAX($E$13:E318))</f>
        <v/>
      </c>
    </row>
    <row r="319">
      <c r="E319" s="4">
        <f>IF(OR(Trades!M308="WIN",Trades!M308="LOSS"),E318+Trades!N308,E318)</f>
        <v/>
      </c>
      <c r="F319" s="15">
        <f>MIN(0,E319-MAX($E$13:E319))</f>
        <v/>
      </c>
    </row>
    <row r="320">
      <c r="E320" s="4">
        <f>IF(OR(Trades!M309="WIN",Trades!M309="LOSS"),E319+Trades!N309,E319)</f>
        <v/>
      </c>
      <c r="F320" s="15">
        <f>MIN(0,E320-MAX($E$13:E320))</f>
        <v/>
      </c>
    </row>
    <row r="321">
      <c r="E321" s="4">
        <f>IF(OR(Trades!M310="WIN",Trades!M310="LOSS"),E320+Trades!N310,E320)</f>
        <v/>
      </c>
      <c r="F321" s="15">
        <f>MIN(0,E321-MAX($E$13:E321))</f>
        <v/>
      </c>
    </row>
    <row r="322">
      <c r="E322" s="4">
        <f>IF(OR(Trades!M311="WIN",Trades!M311="LOSS"),E321+Trades!N311,E321)</f>
        <v/>
      </c>
      <c r="F322" s="15">
        <f>MIN(0,E322-MAX($E$13:E322))</f>
        <v/>
      </c>
    </row>
    <row r="323">
      <c r="E323" s="4">
        <f>IF(OR(Trades!M312="WIN",Trades!M312="LOSS"),E322+Trades!N312,E322)</f>
        <v/>
      </c>
      <c r="F323" s="15">
        <f>MIN(0,E323-MAX($E$13:E323))</f>
        <v/>
      </c>
    </row>
    <row r="324">
      <c r="E324" s="4">
        <f>IF(OR(Trades!M313="WIN",Trades!M313="LOSS"),E323+Trades!N313,E323)</f>
        <v/>
      </c>
      <c r="F324" s="15">
        <f>MIN(0,E324-MAX($E$13:E324))</f>
        <v/>
      </c>
    </row>
    <row r="325">
      <c r="E325" s="4">
        <f>IF(OR(Trades!M314="WIN",Trades!M314="LOSS"),E324+Trades!N314,E324)</f>
        <v/>
      </c>
      <c r="F325" s="15">
        <f>MIN(0,E325-MAX($E$13:E325))</f>
        <v/>
      </c>
    </row>
    <row r="326">
      <c r="E326" s="4">
        <f>IF(OR(Trades!M315="WIN",Trades!M315="LOSS"),E325+Trades!N315,E325)</f>
        <v/>
      </c>
      <c r="F326" s="15">
        <f>MIN(0,E326-MAX($E$13:E326))</f>
        <v/>
      </c>
    </row>
    <row r="327">
      <c r="E327" s="4">
        <f>IF(OR(Trades!M316="WIN",Trades!M316="LOSS"),E326+Trades!N316,E326)</f>
        <v/>
      </c>
      <c r="F327" s="15">
        <f>MIN(0,E327-MAX($E$13:E327))</f>
        <v/>
      </c>
    </row>
    <row r="328">
      <c r="E328" s="4">
        <f>IF(OR(Trades!M317="WIN",Trades!M317="LOSS"),E327+Trades!N317,E327)</f>
        <v/>
      </c>
      <c r="F328" s="15">
        <f>MIN(0,E328-MAX($E$13:E328))</f>
        <v/>
      </c>
    </row>
    <row r="329">
      <c r="E329" s="4">
        <f>IF(OR(Trades!M318="WIN",Trades!M318="LOSS"),E328+Trades!N318,E328)</f>
        <v/>
      </c>
      <c r="F329" s="15">
        <f>MIN(0,E329-MAX($E$13:E329))</f>
        <v/>
      </c>
    </row>
    <row r="330">
      <c r="E330" s="4">
        <f>IF(OR(Trades!M319="WIN",Trades!M319="LOSS"),E329+Trades!N319,E329)</f>
        <v/>
      </c>
      <c r="F330" s="15">
        <f>MIN(0,E330-MAX($E$13:E330))</f>
        <v/>
      </c>
    </row>
    <row r="331">
      <c r="E331" s="4">
        <f>IF(OR(Trades!M320="WIN",Trades!M320="LOSS"),E330+Trades!N320,E330)</f>
        <v/>
      </c>
      <c r="F331" s="15">
        <f>MIN(0,E331-MAX($E$13:E331))</f>
        <v/>
      </c>
    </row>
    <row r="332">
      <c r="E332" s="4">
        <f>IF(OR(Trades!M321="WIN",Trades!M321="LOSS"),E331+Trades!N321,E331)</f>
        <v/>
      </c>
      <c r="F332" s="15">
        <f>MIN(0,E332-MAX($E$13:E332))</f>
        <v/>
      </c>
    </row>
    <row r="333">
      <c r="E333" s="4">
        <f>IF(OR(Trades!M322="WIN",Trades!M322="LOSS"),E332+Trades!N322,E332)</f>
        <v/>
      </c>
      <c r="F333" s="15">
        <f>MIN(0,E333-MAX($E$13:E333))</f>
        <v/>
      </c>
    </row>
    <row r="334">
      <c r="E334" s="4">
        <f>IF(OR(Trades!M323="WIN",Trades!M323="LOSS"),E333+Trades!N323,E333)</f>
        <v/>
      </c>
      <c r="F334" s="15">
        <f>MIN(0,E334-MAX($E$13:E334))</f>
        <v/>
      </c>
    </row>
    <row r="335">
      <c r="E335" s="4">
        <f>IF(OR(Trades!M324="WIN",Trades!M324="LOSS"),E334+Trades!N324,E334)</f>
        <v/>
      </c>
      <c r="F335" s="15">
        <f>MIN(0,E335-MAX($E$13:E335))</f>
        <v/>
      </c>
    </row>
    <row r="336">
      <c r="E336" s="4">
        <f>IF(OR(Trades!M325="WIN",Trades!M325="LOSS"),E335+Trades!N325,E335)</f>
        <v/>
      </c>
      <c r="F336" s="15">
        <f>MIN(0,E336-MAX($E$13:E336))</f>
        <v/>
      </c>
    </row>
    <row r="337">
      <c r="E337" s="4">
        <f>IF(OR(Trades!M326="WIN",Trades!M326="LOSS"),E336+Trades!N326,E336)</f>
        <v/>
      </c>
      <c r="F337" s="15">
        <f>MIN(0,E337-MAX($E$13:E337))</f>
        <v/>
      </c>
    </row>
    <row r="338">
      <c r="E338" s="4">
        <f>IF(OR(Trades!M327="WIN",Trades!M327="LOSS"),E337+Trades!N327,E337)</f>
        <v/>
      </c>
      <c r="F338" s="15">
        <f>MIN(0,E338-MAX($E$13:E338))</f>
        <v/>
      </c>
    </row>
    <row r="339">
      <c r="E339" s="4">
        <f>IF(OR(Trades!M328="WIN",Trades!M328="LOSS"),E338+Trades!N328,E338)</f>
        <v/>
      </c>
      <c r="F339" s="15">
        <f>MIN(0,E339-MAX($E$13:E339))</f>
        <v/>
      </c>
    </row>
    <row r="340">
      <c r="E340" s="4">
        <f>IF(OR(Trades!M329="WIN",Trades!M329="LOSS"),E339+Trades!N329,E339)</f>
        <v/>
      </c>
      <c r="F340" s="15">
        <f>MIN(0,E340-MAX($E$13:E340))</f>
        <v/>
      </c>
    </row>
    <row r="341">
      <c r="E341" s="4">
        <f>IF(OR(Trades!M330="WIN",Trades!M330="LOSS"),E340+Trades!N330,E340)</f>
        <v/>
      </c>
      <c r="F341" s="15">
        <f>MIN(0,E341-MAX($E$13:E341))</f>
        <v/>
      </c>
    </row>
    <row r="342">
      <c r="E342" s="4">
        <f>IF(OR(Trades!M331="WIN",Trades!M331="LOSS"),E341+Trades!N331,E341)</f>
        <v/>
      </c>
      <c r="F342" s="15">
        <f>MIN(0,E342-MAX($E$13:E342))</f>
        <v/>
      </c>
    </row>
    <row r="343">
      <c r="E343" s="4">
        <f>IF(OR(Trades!M332="WIN",Trades!M332="LOSS"),E342+Trades!N332,E342)</f>
        <v/>
      </c>
      <c r="F343" s="15">
        <f>MIN(0,E343-MAX($E$13:E343))</f>
        <v/>
      </c>
    </row>
    <row r="344">
      <c r="E344" s="4">
        <f>IF(OR(Trades!M333="WIN",Trades!M333="LOSS"),E343+Trades!N333,E343)</f>
        <v/>
      </c>
      <c r="F344" s="15">
        <f>MIN(0,E344-MAX($E$13:E344))</f>
        <v/>
      </c>
    </row>
    <row r="345">
      <c r="E345" s="4">
        <f>IF(OR(Trades!M334="WIN",Trades!M334="LOSS"),E344+Trades!N334,E344)</f>
        <v/>
      </c>
      <c r="F345" s="15">
        <f>MIN(0,E345-MAX($E$13:E345))</f>
        <v/>
      </c>
    </row>
    <row r="346">
      <c r="E346" s="4">
        <f>IF(OR(Trades!M335="WIN",Trades!M335="LOSS"),E345+Trades!N335,E345)</f>
        <v/>
      </c>
      <c r="F346" s="15">
        <f>MIN(0,E346-MAX($E$13:E346))</f>
        <v/>
      </c>
    </row>
    <row r="347">
      <c r="E347" s="4">
        <f>IF(OR(Trades!M336="WIN",Trades!M336="LOSS"),E346+Trades!N336,E346)</f>
        <v/>
      </c>
      <c r="F347" s="15">
        <f>MIN(0,E347-MAX($E$13:E347))</f>
        <v/>
      </c>
    </row>
    <row r="348">
      <c r="E348" s="4">
        <f>IF(OR(Trades!M337="WIN",Trades!M337="LOSS"),E347+Trades!N337,E347)</f>
        <v/>
      </c>
      <c r="F348" s="15">
        <f>MIN(0,E348-MAX($E$13:E348))</f>
        <v/>
      </c>
    </row>
    <row r="349">
      <c r="E349" s="4">
        <f>IF(OR(Trades!M338="WIN",Trades!M338="LOSS"),E348+Trades!N338,E348)</f>
        <v/>
      </c>
      <c r="F349" s="15">
        <f>MIN(0,E349-MAX($E$13:E349))</f>
        <v/>
      </c>
    </row>
    <row r="350">
      <c r="E350" s="4">
        <f>IF(OR(Trades!M339="WIN",Trades!M339="LOSS"),E349+Trades!N339,E349)</f>
        <v/>
      </c>
      <c r="F350" s="15">
        <f>MIN(0,E350-MAX($E$13:E350))</f>
        <v/>
      </c>
    </row>
    <row r="351">
      <c r="E351" s="4">
        <f>IF(OR(Trades!M340="WIN",Trades!M340="LOSS"),E350+Trades!N340,E350)</f>
        <v/>
      </c>
      <c r="F351" s="15">
        <f>MIN(0,E351-MAX($E$13:E351))</f>
        <v/>
      </c>
    </row>
    <row r="352">
      <c r="E352" s="4">
        <f>IF(OR(Trades!M341="WIN",Trades!M341="LOSS"),E351+Trades!N341,E351)</f>
        <v/>
      </c>
      <c r="F352" s="15">
        <f>MIN(0,E352-MAX($E$13:E352))</f>
        <v/>
      </c>
    </row>
    <row r="353">
      <c r="E353" s="4">
        <f>IF(OR(Trades!M342="WIN",Trades!M342="LOSS"),E352+Trades!N342,E352)</f>
        <v/>
      </c>
      <c r="F353" s="15">
        <f>MIN(0,E353-MAX($E$13:E353))</f>
        <v/>
      </c>
    </row>
    <row r="354">
      <c r="E354" s="4">
        <f>IF(OR(Trades!M343="WIN",Trades!M343="LOSS"),E353+Trades!N343,E353)</f>
        <v/>
      </c>
      <c r="F354" s="15">
        <f>MIN(0,E354-MAX($E$13:E354))</f>
        <v/>
      </c>
    </row>
    <row r="355">
      <c r="E355" s="4">
        <f>IF(OR(Trades!M344="WIN",Trades!M344="LOSS"),E354+Trades!N344,E354)</f>
        <v/>
      </c>
      <c r="F355" s="15">
        <f>MIN(0,E355-MAX($E$13:E355))</f>
        <v/>
      </c>
    </row>
    <row r="356">
      <c r="E356" s="4">
        <f>IF(OR(Trades!M345="WIN",Trades!M345="LOSS"),E355+Trades!N345,E355)</f>
        <v/>
      </c>
      <c r="F356" s="15">
        <f>MIN(0,E356-MAX($E$13:E356))</f>
        <v/>
      </c>
    </row>
    <row r="357">
      <c r="E357" s="4">
        <f>IF(OR(Trades!M346="WIN",Trades!M346="LOSS"),E356+Trades!N346,E356)</f>
        <v/>
      </c>
      <c r="F357" s="15">
        <f>MIN(0,E357-MAX($E$13:E357))</f>
        <v/>
      </c>
    </row>
    <row r="358">
      <c r="E358" s="4">
        <f>IF(OR(Trades!M347="WIN",Trades!M347="LOSS"),E357+Trades!N347,E357)</f>
        <v/>
      </c>
      <c r="F358" s="15">
        <f>MIN(0,E358-MAX($E$13:E358))</f>
        <v/>
      </c>
    </row>
    <row r="359">
      <c r="E359" s="4">
        <f>IF(OR(Trades!M348="WIN",Trades!M348="LOSS"),E358+Trades!N348,E358)</f>
        <v/>
      </c>
      <c r="F359" s="15">
        <f>MIN(0,E359-MAX($E$13:E359))</f>
        <v/>
      </c>
    </row>
    <row r="360">
      <c r="E360" s="4">
        <f>IF(OR(Trades!M349="WIN",Trades!M349="LOSS"),E359+Trades!N349,E359)</f>
        <v/>
      </c>
      <c r="F360" s="15">
        <f>MIN(0,E360-MAX($E$13:E360))</f>
        <v/>
      </c>
    </row>
    <row r="361">
      <c r="E361" s="4">
        <f>IF(OR(Trades!M350="WIN",Trades!M350="LOSS"),E360+Trades!N350,E360)</f>
        <v/>
      </c>
      <c r="F361" s="15">
        <f>MIN(0,E361-MAX($E$13:E361))</f>
        <v/>
      </c>
    </row>
    <row r="362">
      <c r="E362" s="4">
        <f>IF(OR(Trades!M351="WIN",Trades!M351="LOSS"),E361+Trades!N351,E361)</f>
        <v/>
      </c>
      <c r="F362" s="15">
        <f>MIN(0,E362-MAX($E$13:E362))</f>
        <v/>
      </c>
    </row>
    <row r="363">
      <c r="E363" s="4">
        <f>IF(OR(Trades!M352="WIN",Trades!M352="LOSS"),E362+Trades!N352,E362)</f>
        <v/>
      </c>
      <c r="F363" s="15">
        <f>MIN(0,E363-MAX($E$13:E363))</f>
        <v/>
      </c>
    </row>
    <row r="364">
      <c r="E364" s="4">
        <f>IF(OR(Trades!M353="WIN",Trades!M353="LOSS"),E363+Trades!N353,E363)</f>
        <v/>
      </c>
      <c r="F364" s="15">
        <f>MIN(0,E364-MAX($E$13:E364))</f>
        <v/>
      </c>
    </row>
    <row r="365">
      <c r="E365" s="4">
        <f>IF(OR(Trades!M354="WIN",Trades!M354="LOSS"),E364+Trades!N354,E364)</f>
        <v/>
      </c>
      <c r="F365" s="15">
        <f>MIN(0,E365-MAX($E$13:E365))</f>
        <v/>
      </c>
    </row>
    <row r="366">
      <c r="E366" s="4">
        <f>IF(OR(Trades!M355="WIN",Trades!M355="LOSS"),E365+Trades!N355,E365)</f>
        <v/>
      </c>
      <c r="F366" s="15">
        <f>MIN(0,E366-MAX($E$13:E366))</f>
        <v/>
      </c>
    </row>
    <row r="367">
      <c r="E367" s="4">
        <f>IF(OR(Trades!M356="WIN",Trades!M356="LOSS"),E366+Trades!N356,E366)</f>
        <v/>
      </c>
      <c r="F367" s="15">
        <f>MIN(0,E367-MAX($E$13:E367))</f>
        <v/>
      </c>
    </row>
    <row r="368">
      <c r="E368" s="4">
        <f>IF(OR(Trades!M357="WIN",Trades!M357="LOSS"),E367+Trades!N357,E367)</f>
        <v/>
      </c>
      <c r="F368" s="15">
        <f>MIN(0,E368-MAX($E$13:E368))</f>
        <v/>
      </c>
    </row>
    <row r="369">
      <c r="E369" s="4">
        <f>IF(OR(Trades!M358="WIN",Trades!M358="LOSS"),E368+Trades!N358,E368)</f>
        <v/>
      </c>
      <c r="F369" s="15">
        <f>MIN(0,E369-MAX($E$13:E369))</f>
        <v/>
      </c>
    </row>
    <row r="370">
      <c r="E370" s="4">
        <f>IF(OR(Trades!M359="WIN",Trades!M359="LOSS"),E369+Trades!N359,E369)</f>
        <v/>
      </c>
      <c r="F370" s="15">
        <f>MIN(0,E370-MAX($E$13:E370))</f>
        <v/>
      </c>
    </row>
    <row r="371">
      <c r="E371" s="4">
        <f>IF(OR(Trades!M360="WIN",Trades!M360="LOSS"),E370+Trades!N360,E370)</f>
        <v/>
      </c>
      <c r="F371" s="15">
        <f>MIN(0,E371-MAX($E$13:E371))</f>
        <v/>
      </c>
    </row>
    <row r="372">
      <c r="E372" s="4">
        <f>IF(OR(Trades!M361="WIN",Trades!M361="LOSS"),E371+Trades!N361,E371)</f>
        <v/>
      </c>
      <c r="F372" s="15">
        <f>MIN(0,E372-MAX($E$13:E372))</f>
        <v/>
      </c>
    </row>
    <row r="373">
      <c r="E373" s="4">
        <f>IF(OR(Trades!M362="WIN",Trades!M362="LOSS"),E372+Trades!N362,E372)</f>
        <v/>
      </c>
      <c r="F373" s="15">
        <f>MIN(0,E373-MAX($E$13:E373))</f>
        <v/>
      </c>
    </row>
    <row r="374">
      <c r="E374" s="4">
        <f>IF(OR(Trades!M363="WIN",Trades!M363="LOSS"),E373+Trades!N363,E373)</f>
        <v/>
      </c>
      <c r="F374" s="15">
        <f>MIN(0,E374-MAX($E$13:E374))</f>
        <v/>
      </c>
    </row>
    <row r="375">
      <c r="E375" s="4">
        <f>IF(OR(Trades!M364="WIN",Trades!M364="LOSS"),E374+Trades!N364,E374)</f>
        <v/>
      </c>
      <c r="F375" s="15">
        <f>MIN(0,E375-MAX($E$13:E375))</f>
        <v/>
      </c>
    </row>
    <row r="376">
      <c r="E376" s="4">
        <f>IF(OR(Trades!M365="WIN",Trades!M365="LOSS"),E375+Trades!N365,E375)</f>
        <v/>
      </c>
      <c r="F376" s="15">
        <f>MIN(0,E376-MAX($E$13:E376))</f>
        <v/>
      </c>
    </row>
    <row r="377">
      <c r="E377" s="4">
        <f>IF(OR(Trades!M366="WIN",Trades!M366="LOSS"),E376+Trades!N366,E376)</f>
        <v/>
      </c>
      <c r="F377" s="15">
        <f>MIN(0,E377-MAX($E$13:E377))</f>
        <v/>
      </c>
    </row>
    <row r="378">
      <c r="E378" s="4">
        <f>IF(OR(Trades!M367="WIN",Trades!M367="LOSS"),E377+Trades!N367,E377)</f>
        <v/>
      </c>
      <c r="F378" s="15">
        <f>MIN(0,E378-MAX($E$13:E378))</f>
        <v/>
      </c>
    </row>
    <row r="379">
      <c r="E379" s="4">
        <f>IF(OR(Trades!M368="WIN",Trades!M368="LOSS"),E378+Trades!N368,E378)</f>
        <v/>
      </c>
      <c r="F379" s="15">
        <f>MIN(0,E379-MAX($E$13:E379))</f>
        <v/>
      </c>
    </row>
    <row r="380">
      <c r="E380" s="4">
        <f>IF(OR(Trades!M369="WIN",Trades!M369="LOSS"),E379+Trades!N369,E379)</f>
        <v/>
      </c>
      <c r="F380" s="15">
        <f>MIN(0,E380-MAX($E$13:E380))</f>
        <v/>
      </c>
    </row>
    <row r="381">
      <c r="E381" s="4">
        <f>IF(OR(Trades!M370="WIN",Trades!M370="LOSS"),E380+Trades!N370,E380)</f>
        <v/>
      </c>
      <c r="F381" s="15">
        <f>MIN(0,E381-MAX($E$13:E381))</f>
        <v/>
      </c>
    </row>
    <row r="382">
      <c r="E382" s="4">
        <f>IF(OR(Trades!M371="WIN",Trades!M371="LOSS"),E381+Trades!N371,E381)</f>
        <v/>
      </c>
      <c r="F382" s="15">
        <f>MIN(0,E382-MAX($E$13:E382))</f>
        <v/>
      </c>
    </row>
    <row r="383">
      <c r="E383" s="4">
        <f>IF(OR(Trades!M372="WIN",Trades!M372="LOSS"),E382+Trades!N372,E382)</f>
        <v/>
      </c>
      <c r="F383" s="15">
        <f>MIN(0,E383-MAX($E$13:E383))</f>
        <v/>
      </c>
    </row>
    <row r="384">
      <c r="E384" s="4">
        <f>IF(OR(Trades!M373="WIN",Trades!M373="LOSS"),E383+Trades!N373,E383)</f>
        <v/>
      </c>
      <c r="F384" s="15">
        <f>MIN(0,E384-MAX($E$13:E384))</f>
        <v/>
      </c>
    </row>
    <row r="385">
      <c r="E385" s="4">
        <f>IF(OR(Trades!M374="WIN",Trades!M374="LOSS"),E384+Trades!N374,E384)</f>
        <v/>
      </c>
      <c r="F385" s="15">
        <f>MIN(0,E385-MAX($E$13:E385))</f>
        <v/>
      </c>
    </row>
    <row r="386">
      <c r="E386" s="4">
        <f>IF(OR(Trades!M375="WIN",Trades!M375="LOSS"),E385+Trades!N375,E385)</f>
        <v/>
      </c>
      <c r="F386" s="15">
        <f>MIN(0,E386-MAX($E$13:E386))</f>
        <v/>
      </c>
    </row>
    <row r="387">
      <c r="E387" s="4">
        <f>IF(OR(Trades!M376="WIN",Trades!M376="LOSS"),E386+Trades!N376,E386)</f>
        <v/>
      </c>
      <c r="F387" s="15">
        <f>MIN(0,E387-MAX($E$13:E387))</f>
        <v/>
      </c>
    </row>
    <row r="388">
      <c r="E388" s="4">
        <f>IF(OR(Trades!M377="WIN",Trades!M377="LOSS"),E387+Trades!N377,E387)</f>
        <v/>
      </c>
      <c r="F388" s="15">
        <f>MIN(0,E388-MAX($E$13:E388))</f>
        <v/>
      </c>
    </row>
    <row r="389">
      <c r="E389" s="4">
        <f>IF(OR(Trades!M378="WIN",Trades!M378="LOSS"),E388+Trades!N378,E388)</f>
        <v/>
      </c>
      <c r="F389" s="15">
        <f>MIN(0,E389-MAX($E$13:E389))</f>
        <v/>
      </c>
    </row>
    <row r="390">
      <c r="E390" s="4">
        <f>IF(OR(Trades!M379="WIN",Trades!M379="LOSS"),E389+Trades!N379,E389)</f>
        <v/>
      </c>
      <c r="F390" s="15">
        <f>MIN(0,E390-MAX($E$13:E390))</f>
        <v/>
      </c>
    </row>
    <row r="391">
      <c r="E391" s="4">
        <f>IF(OR(Trades!M380="WIN",Trades!M380="LOSS"),E390+Trades!N380,E390)</f>
        <v/>
      </c>
      <c r="F391" s="15">
        <f>MIN(0,E391-MAX($E$13:E391))</f>
        <v/>
      </c>
    </row>
    <row r="392">
      <c r="E392" s="4">
        <f>IF(OR(Trades!M381="WIN",Trades!M381="LOSS"),E391+Trades!N381,E391)</f>
        <v/>
      </c>
      <c r="F392" s="15">
        <f>MIN(0,E392-MAX($E$13:E392))</f>
        <v/>
      </c>
    </row>
    <row r="393">
      <c r="E393" s="4">
        <f>IF(OR(Trades!M382="WIN",Trades!M382="LOSS"),E392+Trades!N382,E392)</f>
        <v/>
      </c>
      <c r="F393" s="15">
        <f>MIN(0,E393-MAX($E$13:E393))</f>
        <v/>
      </c>
    </row>
    <row r="394">
      <c r="E394" s="4">
        <f>IF(OR(Trades!M383="WIN",Trades!M383="LOSS"),E393+Trades!N383,E393)</f>
        <v/>
      </c>
      <c r="F394" s="15">
        <f>MIN(0,E394-MAX($E$13:E394))</f>
        <v/>
      </c>
    </row>
    <row r="395">
      <c r="E395" s="4">
        <f>IF(OR(Trades!M384="WIN",Trades!M384="LOSS"),E394+Trades!N384,E394)</f>
        <v/>
      </c>
      <c r="F395" s="15">
        <f>MIN(0,E395-MAX($E$13:E395))</f>
        <v/>
      </c>
    </row>
    <row r="396">
      <c r="E396" s="4">
        <f>IF(OR(Trades!M385="WIN",Trades!M385="LOSS"),E395+Trades!N385,E395)</f>
        <v/>
      </c>
      <c r="F396" s="15">
        <f>MIN(0,E396-MAX($E$13:E396))</f>
        <v/>
      </c>
    </row>
    <row r="397">
      <c r="E397" s="4">
        <f>IF(OR(Trades!M386="WIN",Trades!M386="LOSS"),E396+Trades!N386,E396)</f>
        <v/>
      </c>
      <c r="F397" s="15">
        <f>MIN(0,E397-MAX($E$13:E397))</f>
        <v/>
      </c>
    </row>
    <row r="398">
      <c r="E398" s="4">
        <f>IF(OR(Trades!M387="WIN",Trades!M387="LOSS"),E397+Trades!N387,E397)</f>
        <v/>
      </c>
      <c r="F398" s="15">
        <f>MIN(0,E398-MAX($E$13:E398))</f>
        <v/>
      </c>
    </row>
    <row r="399">
      <c r="E399" s="4">
        <f>IF(OR(Trades!M388="WIN",Trades!M388="LOSS"),E398+Trades!N388,E398)</f>
        <v/>
      </c>
      <c r="F399" s="15">
        <f>MIN(0,E399-MAX($E$13:E399))</f>
        <v/>
      </c>
    </row>
    <row r="400">
      <c r="E400" s="4">
        <f>IF(OR(Trades!M389="WIN",Trades!M389="LOSS"),E399+Trades!N389,E399)</f>
        <v/>
      </c>
      <c r="F400" s="15">
        <f>MIN(0,E400-MAX($E$13:E400))</f>
        <v/>
      </c>
    </row>
    <row r="401">
      <c r="E401" s="4">
        <f>IF(OR(Trades!M390="WIN",Trades!M390="LOSS"),E400+Trades!N390,E400)</f>
        <v/>
      </c>
      <c r="F401" s="15">
        <f>MIN(0,E401-MAX($E$13:E401))</f>
        <v/>
      </c>
    </row>
    <row r="402">
      <c r="E402" s="4">
        <f>IF(OR(Trades!M391="WIN",Trades!M391="LOSS"),E401+Trades!N391,E401)</f>
        <v/>
      </c>
      <c r="F402" s="15">
        <f>MIN(0,E402-MAX($E$13:E402))</f>
        <v/>
      </c>
    </row>
    <row r="403">
      <c r="E403" s="4">
        <f>IF(OR(Trades!M392="WIN",Trades!M392="LOSS"),E402+Trades!N392,E402)</f>
        <v/>
      </c>
      <c r="F403" s="15">
        <f>MIN(0,E403-MAX($E$13:E403))</f>
        <v/>
      </c>
    </row>
    <row r="404">
      <c r="E404" s="4">
        <f>IF(OR(Trades!M393="WIN",Trades!M393="LOSS"),E403+Trades!N393,E403)</f>
        <v/>
      </c>
      <c r="F404" s="15">
        <f>MIN(0,E404-MAX($E$13:E404))</f>
        <v/>
      </c>
    </row>
    <row r="405">
      <c r="E405" s="4">
        <f>IF(OR(Trades!M394="WIN",Trades!M394="LOSS"),E404+Trades!N394,E404)</f>
        <v/>
      </c>
      <c r="F405" s="15">
        <f>MIN(0,E405-MAX($E$13:E405))</f>
        <v/>
      </c>
    </row>
    <row r="406">
      <c r="E406" s="4">
        <f>IF(OR(Trades!M395="WIN",Trades!M395="LOSS"),E405+Trades!N395,E405)</f>
        <v/>
      </c>
      <c r="F406" s="15">
        <f>MIN(0,E406-MAX($E$13:E406))</f>
        <v/>
      </c>
    </row>
    <row r="407">
      <c r="E407" s="4">
        <f>IF(OR(Trades!M396="WIN",Trades!M396="LOSS"),E406+Trades!N396,E406)</f>
        <v/>
      </c>
      <c r="F407" s="15">
        <f>MIN(0,E407-MAX($E$13:E407))</f>
        <v/>
      </c>
    </row>
    <row r="408">
      <c r="E408" s="4">
        <f>IF(OR(Trades!M397="WIN",Trades!M397="LOSS"),E407+Trades!N397,E407)</f>
        <v/>
      </c>
      <c r="F408" s="15">
        <f>MIN(0,E408-MAX($E$13:E408))</f>
        <v/>
      </c>
    </row>
    <row r="409">
      <c r="E409" s="4">
        <f>IF(OR(Trades!M398="WIN",Trades!M398="LOSS"),E408+Trades!N398,E408)</f>
        <v/>
      </c>
      <c r="F409" s="15">
        <f>MIN(0,E409-MAX($E$13:E409))</f>
        <v/>
      </c>
    </row>
    <row r="410">
      <c r="E410" s="4">
        <f>IF(OR(Trades!M399="WIN",Trades!M399="LOSS"),E409+Trades!N399,E409)</f>
        <v/>
      </c>
      <c r="F410" s="15">
        <f>MIN(0,E410-MAX($E$13:E410))</f>
        <v/>
      </c>
    </row>
    <row r="411">
      <c r="E411" s="4">
        <f>IF(OR(Trades!M400="WIN",Trades!M400="LOSS"),E410+Trades!N400,E410)</f>
        <v/>
      </c>
      <c r="F411" s="15">
        <f>MIN(0,E411-MAX($E$13:E411))</f>
        <v/>
      </c>
    </row>
    <row r="412">
      <c r="E412" s="4">
        <f>IF(OR(Trades!M401="WIN",Trades!M401="LOSS"),E411+Trades!N401,E411)</f>
        <v/>
      </c>
      <c r="F412" s="15">
        <f>MIN(0,E412-MAX($E$13:E412))</f>
        <v/>
      </c>
    </row>
    <row r="413">
      <c r="E413" s="4">
        <f>IF(OR(Trades!M402="WIN",Trades!M402="LOSS"),E412+Trades!N402,E412)</f>
        <v/>
      </c>
      <c r="F413" s="15">
        <f>MIN(0,E413-MAX($E$13:E413))</f>
        <v/>
      </c>
    </row>
    <row r="414">
      <c r="E414" s="4">
        <f>IF(OR(Trades!M403="WIN",Trades!M403="LOSS"),E413+Trades!N403,E413)</f>
        <v/>
      </c>
      <c r="F414" s="15">
        <f>MIN(0,E414-MAX($E$13:E414))</f>
        <v/>
      </c>
    </row>
    <row r="415">
      <c r="E415" s="4">
        <f>IF(OR(Trades!M404="WIN",Trades!M404="LOSS"),E414+Trades!N404,E414)</f>
        <v/>
      </c>
      <c r="F415" s="15">
        <f>MIN(0,E415-MAX($E$13:E415))</f>
        <v/>
      </c>
    </row>
    <row r="416">
      <c r="E416" s="4">
        <f>IF(OR(Trades!M405="WIN",Trades!M405="LOSS"),E415+Trades!N405,E415)</f>
        <v/>
      </c>
      <c r="F416" s="15">
        <f>MIN(0,E416-MAX($E$13:E416))</f>
        <v/>
      </c>
    </row>
    <row r="417">
      <c r="E417" s="4">
        <f>IF(OR(Trades!M406="WIN",Trades!M406="LOSS"),E416+Trades!N406,E416)</f>
        <v/>
      </c>
      <c r="F417" s="15">
        <f>MIN(0,E417-MAX($E$13:E417))</f>
        <v/>
      </c>
    </row>
    <row r="418">
      <c r="E418" s="4">
        <f>IF(OR(Trades!M407="WIN",Trades!M407="LOSS"),E417+Trades!N407,E417)</f>
        <v/>
      </c>
      <c r="F418" s="15">
        <f>MIN(0,E418-MAX($E$13:E418))</f>
        <v/>
      </c>
    </row>
    <row r="419">
      <c r="E419" s="4">
        <f>IF(OR(Trades!M408="WIN",Trades!M408="LOSS"),E418+Trades!N408,E418)</f>
        <v/>
      </c>
      <c r="F419" s="15">
        <f>MIN(0,E419-MAX($E$13:E419))</f>
        <v/>
      </c>
    </row>
    <row r="420">
      <c r="E420" s="4">
        <f>IF(OR(Trades!M409="WIN",Trades!M409="LOSS"),E419+Trades!N409,E419)</f>
        <v/>
      </c>
      <c r="F420" s="15">
        <f>MIN(0,E420-MAX($E$13:E420))</f>
        <v/>
      </c>
    </row>
    <row r="421">
      <c r="E421" s="4">
        <f>IF(OR(Trades!M410="WIN",Trades!M410="LOSS"),E420+Trades!N410,E420)</f>
        <v/>
      </c>
      <c r="F421" s="15">
        <f>MIN(0,E421-MAX($E$13:E421))</f>
        <v/>
      </c>
    </row>
    <row r="422">
      <c r="E422" s="4">
        <f>IF(OR(Trades!M411="WIN",Trades!M411="LOSS"),E421+Trades!N411,E421)</f>
        <v/>
      </c>
      <c r="F422" s="15">
        <f>MIN(0,E422-MAX($E$13:E422))</f>
        <v/>
      </c>
    </row>
    <row r="423">
      <c r="E423" s="4">
        <f>IF(OR(Trades!M412="WIN",Trades!M412="LOSS"),E422+Trades!N412,E422)</f>
        <v/>
      </c>
      <c r="F423" s="15">
        <f>MIN(0,E423-MAX($E$13:E423))</f>
        <v/>
      </c>
    </row>
    <row r="424">
      <c r="E424" s="4">
        <f>IF(OR(Trades!M413="WIN",Trades!M413="LOSS"),E423+Trades!N413,E423)</f>
        <v/>
      </c>
      <c r="F424" s="15">
        <f>MIN(0,E424-MAX($E$13:E424))</f>
        <v/>
      </c>
    </row>
    <row r="425">
      <c r="E425" s="4">
        <f>IF(OR(Trades!M414="WIN",Trades!M414="LOSS"),E424+Trades!N414,E424)</f>
        <v/>
      </c>
      <c r="F425" s="15">
        <f>MIN(0,E425-MAX($E$13:E425))</f>
        <v/>
      </c>
    </row>
    <row r="426">
      <c r="E426" s="4">
        <f>IF(OR(Trades!M415="WIN",Trades!M415="LOSS"),E425+Trades!N415,E425)</f>
        <v/>
      </c>
      <c r="F426" s="15">
        <f>MIN(0,E426-MAX($E$13:E426))</f>
        <v/>
      </c>
    </row>
    <row r="427">
      <c r="E427" s="4">
        <f>IF(OR(Trades!M416="WIN",Trades!M416="LOSS"),E426+Trades!N416,E426)</f>
        <v/>
      </c>
      <c r="F427" s="15">
        <f>MIN(0,E427-MAX($E$13:E427))</f>
        <v/>
      </c>
    </row>
    <row r="428">
      <c r="E428" s="4">
        <f>IF(OR(Trades!M417="WIN",Trades!M417="LOSS"),E427+Trades!N417,E427)</f>
        <v/>
      </c>
      <c r="F428" s="15">
        <f>MIN(0,E428-MAX($E$13:E428))</f>
        <v/>
      </c>
    </row>
    <row r="429">
      <c r="E429" s="4">
        <f>IF(OR(Trades!M418="WIN",Trades!M418="LOSS"),E428+Trades!N418,E428)</f>
        <v/>
      </c>
      <c r="F429" s="15">
        <f>MIN(0,E429-MAX($E$13:E429))</f>
        <v/>
      </c>
    </row>
    <row r="430">
      <c r="E430" s="4">
        <f>IF(OR(Trades!M419="WIN",Trades!M419="LOSS"),E429+Trades!N419,E429)</f>
        <v/>
      </c>
      <c r="F430" s="15">
        <f>MIN(0,E430-MAX($E$13:E430))</f>
        <v/>
      </c>
    </row>
    <row r="431">
      <c r="E431" s="4">
        <f>IF(OR(Trades!M420="WIN",Trades!M420="LOSS"),E430+Trades!N420,E430)</f>
        <v/>
      </c>
      <c r="F431" s="15">
        <f>MIN(0,E431-MAX($E$13:E431))</f>
        <v/>
      </c>
    </row>
    <row r="432">
      <c r="E432" s="4">
        <f>IF(OR(Trades!M421="WIN",Trades!M421="LOSS"),E431+Trades!N421,E431)</f>
        <v/>
      </c>
      <c r="F432" s="15">
        <f>MIN(0,E432-MAX($E$13:E432))</f>
        <v/>
      </c>
    </row>
    <row r="433">
      <c r="E433" s="4">
        <f>IF(OR(Trades!M422="WIN",Trades!M422="LOSS"),E432+Trades!N422,E432)</f>
        <v/>
      </c>
      <c r="F433" s="15">
        <f>MIN(0,E433-MAX($E$13:E433))</f>
        <v/>
      </c>
    </row>
    <row r="434">
      <c r="E434" s="4">
        <f>IF(OR(Trades!M423="WIN",Trades!M423="LOSS"),E433+Trades!N423,E433)</f>
        <v/>
      </c>
      <c r="F434" s="15">
        <f>MIN(0,E434-MAX($E$13:E434))</f>
        <v/>
      </c>
    </row>
    <row r="435">
      <c r="E435" s="4">
        <f>IF(OR(Trades!M424="WIN",Trades!M424="LOSS"),E434+Trades!N424,E434)</f>
        <v/>
      </c>
      <c r="F435" s="15">
        <f>MIN(0,E435-MAX($E$13:E435))</f>
        <v/>
      </c>
    </row>
    <row r="436">
      <c r="E436" s="4">
        <f>IF(OR(Trades!M425="WIN",Trades!M425="LOSS"),E435+Trades!N425,E435)</f>
        <v/>
      </c>
      <c r="F436" s="15">
        <f>MIN(0,E436-MAX($E$13:E436))</f>
        <v/>
      </c>
    </row>
    <row r="437">
      <c r="E437" s="4">
        <f>IF(OR(Trades!M426="WIN",Trades!M426="LOSS"),E436+Trades!N426,E436)</f>
        <v/>
      </c>
      <c r="F437" s="15">
        <f>MIN(0,E437-MAX($E$13:E437))</f>
        <v/>
      </c>
    </row>
    <row r="438">
      <c r="E438" s="4">
        <f>IF(OR(Trades!M427="WIN",Trades!M427="LOSS"),E437+Trades!N427,E437)</f>
        <v/>
      </c>
      <c r="F438" s="15">
        <f>MIN(0,E438-MAX($E$13:E438))</f>
        <v/>
      </c>
    </row>
    <row r="439">
      <c r="E439" s="4">
        <f>IF(OR(Trades!M428="WIN",Trades!M428="LOSS"),E438+Trades!N428,E438)</f>
        <v/>
      </c>
      <c r="F439" s="15">
        <f>MIN(0,E439-MAX($E$13:E439))</f>
        <v/>
      </c>
    </row>
    <row r="440">
      <c r="E440" s="4">
        <f>IF(OR(Trades!M429="WIN",Trades!M429="LOSS"),E439+Trades!N429,E439)</f>
        <v/>
      </c>
      <c r="F440" s="15">
        <f>MIN(0,E440-MAX($E$13:E440))</f>
        <v/>
      </c>
    </row>
    <row r="441">
      <c r="E441" s="4">
        <f>IF(OR(Trades!M430="WIN",Trades!M430="LOSS"),E440+Trades!N430,E440)</f>
        <v/>
      </c>
      <c r="F441" s="15">
        <f>MIN(0,E441-MAX($E$13:E441))</f>
        <v/>
      </c>
    </row>
    <row r="442">
      <c r="E442" s="4">
        <f>IF(OR(Trades!M431="WIN",Trades!M431="LOSS"),E441+Trades!N431,E441)</f>
        <v/>
      </c>
      <c r="F442" s="15">
        <f>MIN(0,E442-MAX($E$13:E442))</f>
        <v/>
      </c>
    </row>
    <row r="443">
      <c r="E443" s="4">
        <f>IF(OR(Trades!M432="WIN",Trades!M432="LOSS"),E442+Trades!N432,E442)</f>
        <v/>
      </c>
      <c r="F443" s="15">
        <f>MIN(0,E443-MAX($E$13:E443))</f>
        <v/>
      </c>
    </row>
    <row r="444">
      <c r="E444" s="4">
        <f>IF(OR(Trades!M433="WIN",Trades!M433="LOSS"),E443+Trades!N433,E443)</f>
        <v/>
      </c>
      <c r="F444" s="15">
        <f>MIN(0,E444-MAX($E$13:E444))</f>
        <v/>
      </c>
    </row>
    <row r="445">
      <c r="E445" s="4">
        <f>IF(OR(Trades!M434="WIN",Trades!M434="LOSS"),E444+Trades!N434,E444)</f>
        <v/>
      </c>
      <c r="F445" s="15">
        <f>MIN(0,E445-MAX($E$13:E445))</f>
        <v/>
      </c>
    </row>
    <row r="446">
      <c r="E446" s="4">
        <f>IF(OR(Trades!M435="WIN",Trades!M435="LOSS"),E445+Trades!N435,E445)</f>
        <v/>
      </c>
      <c r="F446" s="15">
        <f>MIN(0,E446-MAX($E$13:E446))</f>
        <v/>
      </c>
    </row>
    <row r="447">
      <c r="E447" s="4">
        <f>IF(OR(Trades!M436="WIN",Trades!M436="LOSS"),E446+Trades!N436,E446)</f>
        <v/>
      </c>
      <c r="F447" s="15">
        <f>MIN(0,E447-MAX($E$13:E447))</f>
        <v/>
      </c>
    </row>
    <row r="448">
      <c r="E448" s="4">
        <f>IF(OR(Trades!M437="WIN",Trades!M437="LOSS"),E447+Trades!N437,E447)</f>
        <v/>
      </c>
      <c r="F448" s="15">
        <f>MIN(0,E448-MAX($E$13:E448))</f>
        <v/>
      </c>
    </row>
    <row r="449">
      <c r="E449" s="4">
        <f>IF(OR(Trades!M438="WIN",Trades!M438="LOSS"),E448+Trades!N438,E448)</f>
        <v/>
      </c>
      <c r="F449" s="15">
        <f>MIN(0,E449-MAX($E$13:E449))</f>
        <v/>
      </c>
    </row>
    <row r="450">
      <c r="E450" s="4">
        <f>IF(OR(Trades!M439="WIN",Trades!M439="LOSS"),E449+Trades!N439,E449)</f>
        <v/>
      </c>
      <c r="F450" s="15">
        <f>MIN(0,E450-MAX($E$13:E450))</f>
        <v/>
      </c>
    </row>
    <row r="451">
      <c r="E451" s="4">
        <f>IF(OR(Trades!M440="WIN",Trades!M440="LOSS"),E450+Trades!N440,E450)</f>
        <v/>
      </c>
      <c r="F451" s="15">
        <f>MIN(0,E451-MAX($E$13:E451))</f>
        <v/>
      </c>
    </row>
    <row r="452">
      <c r="E452" s="4">
        <f>IF(OR(Trades!M441="WIN",Trades!M441="LOSS"),E451+Trades!N441,E451)</f>
        <v/>
      </c>
      <c r="F452" s="15">
        <f>MIN(0,E452-MAX($E$13:E452))</f>
        <v/>
      </c>
    </row>
    <row r="453">
      <c r="E453" s="4">
        <f>IF(OR(Trades!M442="WIN",Trades!M442="LOSS"),E452+Trades!N442,E452)</f>
        <v/>
      </c>
      <c r="F453" s="15">
        <f>MIN(0,E453-MAX($E$13:E453))</f>
        <v/>
      </c>
    </row>
    <row r="454">
      <c r="E454" s="4">
        <f>IF(OR(Trades!M443="WIN",Trades!M443="LOSS"),E453+Trades!N443,E453)</f>
        <v/>
      </c>
      <c r="F454" s="15">
        <f>MIN(0,E454-MAX($E$13:E454))</f>
        <v/>
      </c>
    </row>
    <row r="455">
      <c r="E455" s="4">
        <f>IF(OR(Trades!M444="WIN",Trades!M444="LOSS"),E454+Trades!N444,E454)</f>
        <v/>
      </c>
      <c r="F455" s="15">
        <f>MIN(0,E455-MAX($E$13:E455))</f>
        <v/>
      </c>
    </row>
    <row r="456">
      <c r="E456" s="4">
        <f>IF(OR(Trades!M445="WIN",Trades!M445="LOSS"),E455+Trades!N445,E455)</f>
        <v/>
      </c>
      <c r="F456" s="15">
        <f>MIN(0,E456-MAX($E$13:E456))</f>
        <v/>
      </c>
    </row>
    <row r="457">
      <c r="E457" s="4">
        <f>IF(OR(Trades!M446="WIN",Trades!M446="LOSS"),E456+Trades!N446,E456)</f>
        <v/>
      </c>
      <c r="F457" s="15">
        <f>MIN(0,E457-MAX($E$13:E457))</f>
        <v/>
      </c>
    </row>
    <row r="458">
      <c r="E458" s="4">
        <f>IF(OR(Trades!M447="WIN",Trades!M447="LOSS"),E457+Trades!N447,E457)</f>
        <v/>
      </c>
      <c r="F458" s="15">
        <f>MIN(0,E458-MAX($E$13:E458))</f>
        <v/>
      </c>
    </row>
    <row r="459">
      <c r="E459" s="4">
        <f>IF(OR(Trades!M448="WIN",Trades!M448="LOSS"),E458+Trades!N448,E458)</f>
        <v/>
      </c>
      <c r="F459" s="15">
        <f>MIN(0,E459-MAX($E$13:E459))</f>
        <v/>
      </c>
    </row>
    <row r="460">
      <c r="E460" s="4">
        <f>IF(OR(Trades!M449="WIN",Trades!M449="LOSS"),E459+Trades!N449,E459)</f>
        <v/>
      </c>
      <c r="F460" s="15">
        <f>MIN(0,E460-MAX($E$13:E460))</f>
        <v/>
      </c>
    </row>
    <row r="461">
      <c r="E461" s="4">
        <f>IF(OR(Trades!M450="WIN",Trades!M450="LOSS"),E460+Trades!N450,E460)</f>
        <v/>
      </c>
      <c r="F461" s="15">
        <f>MIN(0,E461-MAX($E$13:E461))</f>
        <v/>
      </c>
    </row>
    <row r="462">
      <c r="E462" s="4">
        <f>IF(OR(Trades!M451="WIN",Trades!M451="LOSS"),E461+Trades!N451,E461)</f>
        <v/>
      </c>
      <c r="F462" s="15">
        <f>MIN(0,E462-MAX($E$13:E462))</f>
        <v/>
      </c>
    </row>
    <row r="463">
      <c r="E463" s="4">
        <f>IF(OR(Trades!M452="WIN",Trades!M452="LOSS"),E462+Trades!N452,E462)</f>
        <v/>
      </c>
      <c r="F463" s="15">
        <f>MIN(0,E463-MAX($E$13:E463))</f>
        <v/>
      </c>
    </row>
    <row r="464">
      <c r="E464" s="4">
        <f>IF(OR(Trades!M453="WIN",Trades!M453="LOSS"),E463+Trades!N453,E463)</f>
        <v/>
      </c>
      <c r="F464" s="15">
        <f>MIN(0,E464-MAX($E$13:E464))</f>
        <v/>
      </c>
    </row>
    <row r="465">
      <c r="E465" s="4">
        <f>IF(OR(Trades!M454="WIN",Trades!M454="LOSS"),E464+Trades!N454,E464)</f>
        <v/>
      </c>
      <c r="F465" s="15">
        <f>MIN(0,E465-MAX($E$13:E465))</f>
        <v/>
      </c>
    </row>
    <row r="466">
      <c r="E466" s="4">
        <f>IF(OR(Trades!M455="WIN",Trades!M455="LOSS"),E465+Trades!N455,E465)</f>
        <v/>
      </c>
      <c r="F466" s="15">
        <f>MIN(0,E466-MAX($E$13:E466))</f>
        <v/>
      </c>
    </row>
    <row r="467">
      <c r="E467" s="4">
        <f>IF(OR(Trades!M456="WIN",Trades!M456="LOSS"),E466+Trades!N456,E466)</f>
        <v/>
      </c>
      <c r="F467" s="15">
        <f>MIN(0,E467-MAX($E$13:E467))</f>
        <v/>
      </c>
    </row>
    <row r="468">
      <c r="E468" s="4">
        <f>IF(OR(Trades!M457="WIN",Trades!M457="LOSS"),E467+Trades!N457,E467)</f>
        <v/>
      </c>
      <c r="F468" s="15">
        <f>MIN(0,E468-MAX($E$13:E468))</f>
        <v/>
      </c>
    </row>
    <row r="469">
      <c r="E469" s="4">
        <f>IF(OR(Trades!M458="WIN",Trades!M458="LOSS"),E468+Trades!N458,E468)</f>
        <v/>
      </c>
      <c r="F469" s="15">
        <f>MIN(0,E469-MAX($E$13:E469))</f>
        <v/>
      </c>
    </row>
    <row r="470">
      <c r="E470" s="4">
        <f>IF(OR(Trades!M459="WIN",Trades!M459="LOSS"),E469+Trades!N459,E469)</f>
        <v/>
      </c>
      <c r="F470" s="15">
        <f>MIN(0,E470-MAX($E$13:E470))</f>
        <v/>
      </c>
    </row>
    <row r="471">
      <c r="E471" s="4">
        <f>IF(OR(Trades!M460="WIN",Trades!M460="LOSS"),E470+Trades!N460,E470)</f>
        <v/>
      </c>
      <c r="F471" s="15">
        <f>MIN(0,E471-MAX($E$13:E471))</f>
        <v/>
      </c>
    </row>
    <row r="472">
      <c r="E472" s="4">
        <f>IF(OR(Trades!M461="WIN",Trades!M461="LOSS"),E471+Trades!N461,E471)</f>
        <v/>
      </c>
      <c r="F472" s="15">
        <f>MIN(0,E472-MAX($E$13:E472))</f>
        <v/>
      </c>
    </row>
    <row r="473">
      <c r="E473" s="4">
        <f>IF(OR(Trades!M462="WIN",Trades!M462="LOSS"),E472+Trades!N462,E472)</f>
        <v/>
      </c>
      <c r="F473" s="15">
        <f>MIN(0,E473-MAX($E$13:E473))</f>
        <v/>
      </c>
    </row>
    <row r="474">
      <c r="E474" s="4">
        <f>IF(OR(Trades!M463="WIN",Trades!M463="LOSS"),E473+Trades!N463,E473)</f>
        <v/>
      </c>
      <c r="F474" s="15">
        <f>MIN(0,E474-MAX($E$13:E474))</f>
        <v/>
      </c>
    </row>
    <row r="475">
      <c r="E475" s="4">
        <f>IF(OR(Trades!M464="WIN",Trades!M464="LOSS"),E474+Trades!N464,E474)</f>
        <v/>
      </c>
      <c r="F475" s="15">
        <f>MIN(0,E475-MAX($E$13:E475))</f>
        <v/>
      </c>
    </row>
    <row r="476">
      <c r="E476" s="4">
        <f>IF(OR(Trades!M465="WIN",Trades!M465="LOSS"),E475+Trades!N465,E475)</f>
        <v/>
      </c>
      <c r="F476" s="15">
        <f>MIN(0,E476-MAX($E$13:E476))</f>
        <v/>
      </c>
    </row>
    <row r="477">
      <c r="E477" s="4">
        <f>IF(OR(Trades!M466="WIN",Trades!M466="LOSS"),E476+Trades!N466,E476)</f>
        <v/>
      </c>
      <c r="F477" s="15">
        <f>MIN(0,E477-MAX($E$13:E477))</f>
        <v/>
      </c>
    </row>
    <row r="478">
      <c r="E478" s="4">
        <f>IF(OR(Trades!M467="WIN",Trades!M467="LOSS"),E477+Trades!N467,E477)</f>
        <v/>
      </c>
      <c r="F478" s="15">
        <f>MIN(0,E478-MAX($E$13:E478))</f>
        <v/>
      </c>
    </row>
    <row r="479">
      <c r="E479" s="4">
        <f>IF(OR(Trades!M468="WIN",Trades!M468="LOSS"),E478+Trades!N468,E478)</f>
        <v/>
      </c>
      <c r="F479" s="15">
        <f>MIN(0,E479-MAX($E$13:E479))</f>
        <v/>
      </c>
    </row>
    <row r="480">
      <c r="E480" s="4">
        <f>IF(OR(Trades!M469="WIN",Trades!M469="LOSS"),E479+Trades!N469,E479)</f>
        <v/>
      </c>
      <c r="F480" s="15">
        <f>MIN(0,E480-MAX($E$13:E480))</f>
        <v/>
      </c>
    </row>
    <row r="481">
      <c r="E481" s="4">
        <f>IF(OR(Trades!M470="WIN",Trades!M470="LOSS"),E480+Trades!N470,E480)</f>
        <v/>
      </c>
      <c r="F481" s="15">
        <f>MIN(0,E481-MAX($E$13:E481))</f>
        <v/>
      </c>
    </row>
    <row r="482">
      <c r="E482" s="4">
        <f>IF(OR(Trades!M471="WIN",Trades!M471="LOSS"),E481+Trades!N471,E481)</f>
        <v/>
      </c>
      <c r="F482" s="15">
        <f>MIN(0,E482-MAX($E$13:E482))</f>
        <v/>
      </c>
    </row>
    <row r="483">
      <c r="E483" s="4">
        <f>IF(OR(Trades!M472="WIN",Trades!M472="LOSS"),E482+Trades!N472,E482)</f>
        <v/>
      </c>
      <c r="F483" s="15">
        <f>MIN(0,E483-MAX($E$13:E483))</f>
        <v/>
      </c>
    </row>
    <row r="484">
      <c r="E484" s="4">
        <f>IF(OR(Trades!M473="WIN",Trades!M473="LOSS"),E483+Trades!N473,E483)</f>
        <v/>
      </c>
      <c r="F484" s="15">
        <f>MIN(0,E484-MAX($E$13:E484))</f>
        <v/>
      </c>
    </row>
    <row r="485">
      <c r="E485" s="4">
        <f>IF(OR(Trades!M474="WIN",Trades!M474="LOSS"),E484+Trades!N474,E484)</f>
        <v/>
      </c>
      <c r="F485" s="15">
        <f>MIN(0,E485-MAX($E$13:E485))</f>
        <v/>
      </c>
    </row>
    <row r="486">
      <c r="E486" s="4">
        <f>IF(OR(Trades!M475="WIN",Trades!M475="LOSS"),E485+Trades!N475,E485)</f>
        <v/>
      </c>
      <c r="F486" s="15">
        <f>MIN(0,E486-MAX($E$13:E486))</f>
        <v/>
      </c>
    </row>
    <row r="487">
      <c r="E487" s="4">
        <f>IF(OR(Trades!M476="WIN",Trades!M476="LOSS"),E486+Trades!N476,E486)</f>
        <v/>
      </c>
      <c r="F487" s="15">
        <f>MIN(0,E487-MAX($E$13:E487))</f>
        <v/>
      </c>
    </row>
    <row r="488">
      <c r="E488" s="4">
        <f>IF(OR(Trades!M477="WIN",Trades!M477="LOSS"),E487+Trades!N477,E487)</f>
        <v/>
      </c>
      <c r="F488" s="15">
        <f>MIN(0,E488-MAX($E$13:E488))</f>
        <v/>
      </c>
    </row>
    <row r="489">
      <c r="E489" s="4">
        <f>IF(OR(Trades!M478="WIN",Trades!M478="LOSS"),E488+Trades!N478,E488)</f>
        <v/>
      </c>
      <c r="F489" s="15">
        <f>MIN(0,E489-MAX($E$13:E489))</f>
        <v/>
      </c>
    </row>
    <row r="490">
      <c r="E490" s="4">
        <f>IF(OR(Trades!M479="WIN",Trades!M479="LOSS"),E489+Trades!N479,E489)</f>
        <v/>
      </c>
      <c r="F490" s="15">
        <f>MIN(0,E490-MAX($E$13:E490))</f>
        <v/>
      </c>
    </row>
    <row r="491">
      <c r="E491" s="4">
        <f>IF(OR(Trades!M480="WIN",Trades!M480="LOSS"),E490+Trades!N480,E490)</f>
        <v/>
      </c>
      <c r="F491" s="15">
        <f>MIN(0,E491-MAX($E$13:E491))</f>
        <v/>
      </c>
    </row>
    <row r="492">
      <c r="E492" s="4">
        <f>IF(OR(Trades!M481="WIN",Trades!M481="LOSS"),E491+Trades!N481,E491)</f>
        <v/>
      </c>
      <c r="F492" s="15">
        <f>MIN(0,E492-MAX($E$13:E492))</f>
        <v/>
      </c>
    </row>
    <row r="493">
      <c r="E493" s="4">
        <f>IF(OR(Trades!M482="WIN",Trades!M482="LOSS"),E492+Trades!N482,E492)</f>
        <v/>
      </c>
      <c r="F493" s="15">
        <f>MIN(0,E493-MAX($E$13:E493))</f>
        <v/>
      </c>
    </row>
    <row r="494">
      <c r="E494" s="4">
        <f>IF(OR(Trades!M483="WIN",Trades!M483="LOSS"),E493+Trades!N483,E493)</f>
        <v/>
      </c>
      <c r="F494" s="15">
        <f>MIN(0,E494-MAX($E$13:E494))</f>
        <v/>
      </c>
    </row>
    <row r="495">
      <c r="E495" s="4">
        <f>IF(OR(Trades!M484="WIN",Trades!M484="LOSS"),E494+Trades!N484,E494)</f>
        <v/>
      </c>
      <c r="F495" s="15">
        <f>MIN(0,E495-MAX($E$13:E495))</f>
        <v/>
      </c>
    </row>
    <row r="496">
      <c r="E496" s="4">
        <f>IF(OR(Trades!M485="WIN",Trades!M485="LOSS"),E495+Trades!N485,E495)</f>
        <v/>
      </c>
      <c r="F496" s="15">
        <f>MIN(0,E496-MAX($E$13:E496))</f>
        <v/>
      </c>
    </row>
    <row r="497">
      <c r="E497" s="4">
        <f>IF(OR(Trades!M486="WIN",Trades!M486="LOSS"),E496+Trades!N486,E496)</f>
        <v/>
      </c>
      <c r="F497" s="15">
        <f>MIN(0,E497-MAX($E$13:E497))</f>
        <v/>
      </c>
    </row>
    <row r="498">
      <c r="E498" s="4">
        <f>IF(OR(Trades!M487="WIN",Trades!M487="LOSS"),E497+Trades!N487,E497)</f>
        <v/>
      </c>
      <c r="F498" s="15">
        <f>MIN(0,E498-MAX($E$13:E498))</f>
        <v/>
      </c>
    </row>
    <row r="499">
      <c r="E499" s="4">
        <f>IF(OR(Trades!M488="WIN",Trades!M488="LOSS"),E498+Trades!N488,E498)</f>
        <v/>
      </c>
      <c r="F499" s="15">
        <f>MIN(0,E499-MAX($E$13:E499))</f>
        <v/>
      </c>
    </row>
    <row r="500">
      <c r="E500" s="4">
        <f>IF(OR(Trades!M489="WIN",Trades!M489="LOSS"),E499+Trades!N489,E499)</f>
        <v/>
      </c>
      <c r="F500" s="15">
        <f>MIN(0,E500-MAX($E$13:E500))</f>
        <v/>
      </c>
    </row>
    <row r="501">
      <c r="E501" s="4">
        <f>IF(OR(Trades!M490="WIN",Trades!M490="LOSS"),E500+Trades!N490,E500)</f>
        <v/>
      </c>
      <c r="F501" s="15">
        <f>MIN(0,E501-MAX($E$13:E501))</f>
        <v/>
      </c>
    </row>
    <row r="502">
      <c r="E502" s="4">
        <f>IF(OR(Trades!M491="WIN",Trades!M491="LOSS"),E501+Trades!N491,E501)</f>
        <v/>
      </c>
      <c r="F502" s="15">
        <f>MIN(0,E502-MAX($E$13:E502))</f>
        <v/>
      </c>
    </row>
    <row r="503">
      <c r="E503" s="4">
        <f>IF(OR(Trades!M492="WIN",Trades!M492="LOSS"),E502+Trades!N492,E502)</f>
        <v/>
      </c>
      <c r="F503" s="15">
        <f>MIN(0,E503-MAX($E$13:E503))</f>
        <v/>
      </c>
    </row>
    <row r="504">
      <c r="E504" s="4">
        <f>IF(OR(Trades!M493="WIN",Trades!M493="LOSS"),E503+Trades!N493,E503)</f>
        <v/>
      </c>
      <c r="F504" s="15">
        <f>MIN(0,E504-MAX($E$13:E504))</f>
        <v/>
      </c>
    </row>
    <row r="505">
      <c r="E505" s="4">
        <f>IF(OR(Trades!M494="WIN",Trades!M494="LOSS"),E504+Trades!N494,E504)</f>
        <v/>
      </c>
      <c r="F505" s="15">
        <f>MIN(0,E505-MAX($E$13:E505))</f>
        <v/>
      </c>
    </row>
    <row r="506">
      <c r="E506" s="4">
        <f>IF(OR(Trades!M495="WIN",Trades!M495="LOSS"),E505+Trades!N495,E505)</f>
        <v/>
      </c>
      <c r="F506" s="15">
        <f>MIN(0,E506-MAX($E$13:E506))</f>
        <v/>
      </c>
    </row>
    <row r="507">
      <c r="E507" s="4">
        <f>IF(OR(Trades!M496="WIN",Trades!M496="LOSS"),E506+Trades!N496,E506)</f>
        <v/>
      </c>
      <c r="F507" s="15">
        <f>MIN(0,E507-MAX($E$13:E507))</f>
        <v/>
      </c>
    </row>
    <row r="508">
      <c r="E508" s="4">
        <f>IF(OR(Trades!M497="WIN",Trades!M497="LOSS"),E507+Trades!N497,E507)</f>
        <v/>
      </c>
      <c r="F508" s="15">
        <f>MIN(0,E508-MAX($E$13:E508))</f>
        <v/>
      </c>
    </row>
    <row r="509">
      <c r="E509" s="4">
        <f>IF(OR(Trades!M498="WIN",Trades!M498="LOSS"),E508+Trades!N498,E508)</f>
        <v/>
      </c>
      <c r="F509" s="15">
        <f>MIN(0,E509-MAX($E$13:E509))</f>
        <v/>
      </c>
    </row>
    <row r="510">
      <c r="E510" s="4">
        <f>IF(OR(Trades!M499="WIN",Trades!M499="LOSS"),E509+Trades!N499,E509)</f>
        <v/>
      </c>
      <c r="F510" s="15">
        <f>MIN(0,E510-MAX($E$13:E510))</f>
        <v/>
      </c>
    </row>
    <row r="511">
      <c r="E511" s="4">
        <f>IF(OR(Trades!M500="WIN",Trades!M500="LOSS"),E510+Trades!N500,E510)</f>
        <v/>
      </c>
      <c r="F511" s="15">
        <f>MIN(0,E511-MAX($E$13:E511))</f>
        <v/>
      </c>
    </row>
    <row r="512">
      <c r="E512" s="4">
        <f>IF(OR(Trades!M501="WIN",Trades!M501="LOSS"),E511+Trades!N501,E511)</f>
        <v/>
      </c>
      <c r="F512" s="15">
        <f>MIN(0,E512-MAX($E$13:E512))</f>
        <v/>
      </c>
    </row>
  </sheetData>
  <mergeCells count="11">
    <mergeCell ref="A24:F24"/>
    <mergeCell ref="A2:F2"/>
    <mergeCell ref="A30:F30"/>
    <mergeCell ref="A28:F28"/>
    <mergeCell ref="A1:F1"/>
    <mergeCell ref="A23:F23"/>
    <mergeCell ref="A31:F31"/>
    <mergeCell ref="A22:F22"/>
    <mergeCell ref="A21:F21"/>
    <mergeCell ref="A29:F29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2026-04-26T01:36:14Z</dcterms:created>
  <dcterms:modified xsi:type="dcterms:W3CDTF">2026-04-26T01:36:14Z</dcterms:modified>
</cp:coreProperties>
</file>